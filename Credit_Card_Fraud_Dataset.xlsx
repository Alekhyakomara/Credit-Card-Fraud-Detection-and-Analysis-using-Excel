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cf894a963b253c78/Documents/"/>
    </mc:Choice>
  </mc:AlternateContent>
  <xr:revisionPtr revIDLastSave="0" documentId="14_{DEF6319A-9FCB-4B1C-84C4-32CFCE0537E5}" xr6:coauthVersionLast="47" xr6:coauthVersionMax="47" xr10:uidLastSave="{00000000-0000-0000-0000-000000000000}"/>
  <bookViews>
    <workbookView xWindow="-108" yWindow="-108" windowWidth="23256" windowHeight="12456" activeTab="3" xr2:uid="{00000000-000D-0000-FFFF-FFFF00000000}"/>
  </bookViews>
  <sheets>
    <sheet name="Sheet1" sheetId="1" r:id="rId1"/>
    <sheet name="Sheet5" sheetId="11" r:id="rId2"/>
    <sheet name="Sheet6" sheetId="12" r:id="rId3"/>
    <sheet name="Sheet7" sheetId="13" r:id="rId4"/>
  </sheets>
  <definedNames>
    <definedName name="_xlcn.WorksheetConnection_Credit_Card_Fraud_Cleaned_Dataset.xlsxTable11" hidden="1">Table1[]</definedName>
    <definedName name="_xlcn.WorksheetConnection_Credit_Card_Fraud_Cleaned_Dataset.xlsxTable131" hidden="1">Table13[]</definedName>
    <definedName name="Slicer_Location">#N/A</definedName>
    <definedName name="Timeline_Date2">#N/A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Table13" name="Table13" connection="WorksheetConnection_Credit_Card_Fraud_Cleaned_Dataset.xlsx!Table13"/>
          <x15:modelTable id="Table1" name="Table1" connection="WorksheetConnection_Credit_Card_Fraud_Cleaned_Dataset.xlsx!Table1"/>
        </x15:modelTables>
        <x15:extLst>
          <ext xmlns:x16="http://schemas.microsoft.com/office/spreadsheetml/2014/11/main" uri="{9835A34E-60A6-4A7C-AAB8-D5F71C897F49}">
            <x16:modelTimeGroupings>
              <x16:modelTimeGrouping tableName="Table1" columnName="Date2" columnId="Date2">
                <x16:calculatedTimeColumn columnName="Date2 (Month Index)" columnId="Date2 (Month Index)" contentType="monthsindex" isSelected="1"/>
                <x16:calculatedTimeColumn columnName="Date2 (Month)" columnId="Date2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3" i="1" l="1"/>
  <c r="P11" i="1"/>
  <c r="P9" i="1"/>
  <c r="L2" i="1"/>
  <c r="N1001" i="11"/>
  <c r="M1001" i="11"/>
  <c r="L1001" i="11"/>
  <c r="K1001" i="11"/>
  <c r="J1001" i="11"/>
  <c r="N1000" i="11"/>
  <c r="M1000" i="11"/>
  <c r="L1000" i="11"/>
  <c r="K1000" i="11"/>
  <c r="J1000" i="11"/>
  <c r="N999" i="11"/>
  <c r="M999" i="11"/>
  <c r="L999" i="11"/>
  <c r="K999" i="11"/>
  <c r="J999" i="11"/>
  <c r="N998" i="11"/>
  <c r="M998" i="11"/>
  <c r="L998" i="11"/>
  <c r="K998" i="11"/>
  <c r="J998" i="11"/>
  <c r="N997" i="11"/>
  <c r="M997" i="11"/>
  <c r="L997" i="11"/>
  <c r="K997" i="11"/>
  <c r="J997" i="11"/>
  <c r="N996" i="11"/>
  <c r="M996" i="11"/>
  <c r="L996" i="11"/>
  <c r="K996" i="11"/>
  <c r="J996" i="11"/>
  <c r="N995" i="11"/>
  <c r="M995" i="11"/>
  <c r="L995" i="11"/>
  <c r="K995" i="11"/>
  <c r="J995" i="11"/>
  <c r="N994" i="11"/>
  <c r="M994" i="11"/>
  <c r="L994" i="11"/>
  <c r="K994" i="11"/>
  <c r="J994" i="11"/>
  <c r="N993" i="11"/>
  <c r="M993" i="11"/>
  <c r="L993" i="11"/>
  <c r="K993" i="11"/>
  <c r="J993" i="11"/>
  <c r="N992" i="11"/>
  <c r="M992" i="11"/>
  <c r="L992" i="11"/>
  <c r="K992" i="11"/>
  <c r="J992" i="11"/>
  <c r="N991" i="11"/>
  <c r="M991" i="11"/>
  <c r="L991" i="11"/>
  <c r="K991" i="11"/>
  <c r="J991" i="11"/>
  <c r="N990" i="11"/>
  <c r="M990" i="11"/>
  <c r="L990" i="11"/>
  <c r="K990" i="11"/>
  <c r="J990" i="11"/>
  <c r="N989" i="11"/>
  <c r="M989" i="11"/>
  <c r="L989" i="11"/>
  <c r="K989" i="11"/>
  <c r="J989" i="11"/>
  <c r="N988" i="11"/>
  <c r="M988" i="11"/>
  <c r="L988" i="11"/>
  <c r="K988" i="11"/>
  <c r="J988" i="11"/>
  <c r="N987" i="11"/>
  <c r="M987" i="11"/>
  <c r="L987" i="11"/>
  <c r="K987" i="11"/>
  <c r="J987" i="11"/>
  <c r="N986" i="11"/>
  <c r="M986" i="11"/>
  <c r="L986" i="11"/>
  <c r="K986" i="11"/>
  <c r="J986" i="11"/>
  <c r="N985" i="11"/>
  <c r="M985" i="11"/>
  <c r="L985" i="11"/>
  <c r="K985" i="11"/>
  <c r="J985" i="11"/>
  <c r="N984" i="11"/>
  <c r="M984" i="11"/>
  <c r="L984" i="11"/>
  <c r="K984" i="11"/>
  <c r="J984" i="11"/>
  <c r="N983" i="11"/>
  <c r="M983" i="11"/>
  <c r="L983" i="11"/>
  <c r="K983" i="11"/>
  <c r="J983" i="11"/>
  <c r="N982" i="11"/>
  <c r="M982" i="11"/>
  <c r="L982" i="11"/>
  <c r="K982" i="11"/>
  <c r="J982" i="11"/>
  <c r="N981" i="11"/>
  <c r="M981" i="11"/>
  <c r="L981" i="11"/>
  <c r="K981" i="11"/>
  <c r="J981" i="11"/>
  <c r="N980" i="11"/>
  <c r="M980" i="11"/>
  <c r="L980" i="11"/>
  <c r="K980" i="11"/>
  <c r="J980" i="11"/>
  <c r="N979" i="11"/>
  <c r="M979" i="11"/>
  <c r="L979" i="11"/>
  <c r="K979" i="11"/>
  <c r="J979" i="11"/>
  <c r="N978" i="11"/>
  <c r="M978" i="11"/>
  <c r="L978" i="11"/>
  <c r="K978" i="11"/>
  <c r="J978" i="11"/>
  <c r="N977" i="11"/>
  <c r="M977" i="11"/>
  <c r="L977" i="11"/>
  <c r="K977" i="11"/>
  <c r="J977" i="11"/>
  <c r="N976" i="11"/>
  <c r="M976" i="11"/>
  <c r="L976" i="11"/>
  <c r="K976" i="11"/>
  <c r="J976" i="11"/>
  <c r="N975" i="11"/>
  <c r="M975" i="11"/>
  <c r="L975" i="11"/>
  <c r="K975" i="11"/>
  <c r="J975" i="11"/>
  <c r="N974" i="11"/>
  <c r="M974" i="11"/>
  <c r="L974" i="11"/>
  <c r="K974" i="11"/>
  <c r="J974" i="11"/>
  <c r="N973" i="11"/>
  <c r="M973" i="11"/>
  <c r="L973" i="11"/>
  <c r="K973" i="11"/>
  <c r="J973" i="11"/>
  <c r="N972" i="11"/>
  <c r="M972" i="11"/>
  <c r="L972" i="11"/>
  <c r="K972" i="11"/>
  <c r="J972" i="11"/>
  <c r="N971" i="11"/>
  <c r="M971" i="11"/>
  <c r="L971" i="11"/>
  <c r="K971" i="11"/>
  <c r="J971" i="11"/>
  <c r="N970" i="11"/>
  <c r="M970" i="11"/>
  <c r="L970" i="11"/>
  <c r="K970" i="11"/>
  <c r="J970" i="11"/>
  <c r="N969" i="11"/>
  <c r="M969" i="11"/>
  <c r="L969" i="11"/>
  <c r="K969" i="11"/>
  <c r="J969" i="11"/>
  <c r="N968" i="11"/>
  <c r="M968" i="11"/>
  <c r="L968" i="11"/>
  <c r="K968" i="11"/>
  <c r="J968" i="11"/>
  <c r="N967" i="11"/>
  <c r="M967" i="11"/>
  <c r="L967" i="11"/>
  <c r="K967" i="11"/>
  <c r="J967" i="11"/>
  <c r="N966" i="11"/>
  <c r="M966" i="11"/>
  <c r="L966" i="11"/>
  <c r="K966" i="11"/>
  <c r="J966" i="11"/>
  <c r="N965" i="11"/>
  <c r="M965" i="11"/>
  <c r="L965" i="11"/>
  <c r="K965" i="11"/>
  <c r="J965" i="11"/>
  <c r="N964" i="11"/>
  <c r="M964" i="11"/>
  <c r="L964" i="11"/>
  <c r="K964" i="11"/>
  <c r="J964" i="11"/>
  <c r="N963" i="11"/>
  <c r="M963" i="11"/>
  <c r="L963" i="11"/>
  <c r="K963" i="11"/>
  <c r="J963" i="11"/>
  <c r="N962" i="11"/>
  <c r="M962" i="11"/>
  <c r="L962" i="11"/>
  <c r="K962" i="11"/>
  <c r="J962" i="11"/>
  <c r="N961" i="11"/>
  <c r="M961" i="11"/>
  <c r="L961" i="11"/>
  <c r="K961" i="11"/>
  <c r="J961" i="11"/>
  <c r="N960" i="11"/>
  <c r="M960" i="11"/>
  <c r="L960" i="11"/>
  <c r="K960" i="11"/>
  <c r="J960" i="11"/>
  <c r="N959" i="11"/>
  <c r="M959" i="11"/>
  <c r="L959" i="11"/>
  <c r="K959" i="11"/>
  <c r="J959" i="11"/>
  <c r="N958" i="11"/>
  <c r="M958" i="11"/>
  <c r="L958" i="11"/>
  <c r="K958" i="11"/>
  <c r="J958" i="11"/>
  <c r="N957" i="11"/>
  <c r="M957" i="11"/>
  <c r="L957" i="11"/>
  <c r="K957" i="11"/>
  <c r="J957" i="11"/>
  <c r="N956" i="11"/>
  <c r="M956" i="11"/>
  <c r="L956" i="11"/>
  <c r="K956" i="11"/>
  <c r="J956" i="11"/>
  <c r="N955" i="11"/>
  <c r="M955" i="11"/>
  <c r="L955" i="11"/>
  <c r="K955" i="11"/>
  <c r="J955" i="11"/>
  <c r="N954" i="11"/>
  <c r="M954" i="11"/>
  <c r="L954" i="11"/>
  <c r="K954" i="11"/>
  <c r="J954" i="11"/>
  <c r="N953" i="11"/>
  <c r="M953" i="11"/>
  <c r="L953" i="11"/>
  <c r="K953" i="11"/>
  <c r="J953" i="11"/>
  <c r="N952" i="11"/>
  <c r="M952" i="11"/>
  <c r="L952" i="11"/>
  <c r="K952" i="11"/>
  <c r="J952" i="11"/>
  <c r="N951" i="11"/>
  <c r="M951" i="11"/>
  <c r="L951" i="11"/>
  <c r="K951" i="11"/>
  <c r="J951" i="11"/>
  <c r="N950" i="11"/>
  <c r="M950" i="11"/>
  <c r="L950" i="11"/>
  <c r="K950" i="11"/>
  <c r="J950" i="11"/>
  <c r="N949" i="11"/>
  <c r="M949" i="11"/>
  <c r="L949" i="11"/>
  <c r="K949" i="11"/>
  <c r="J949" i="11"/>
  <c r="N948" i="11"/>
  <c r="M948" i="11"/>
  <c r="L948" i="11"/>
  <c r="K948" i="11"/>
  <c r="J948" i="11"/>
  <c r="N947" i="11"/>
  <c r="M947" i="11"/>
  <c r="L947" i="11"/>
  <c r="K947" i="11"/>
  <c r="J947" i="11"/>
  <c r="N946" i="11"/>
  <c r="M946" i="11"/>
  <c r="L946" i="11"/>
  <c r="K946" i="11"/>
  <c r="J946" i="11"/>
  <c r="N945" i="11"/>
  <c r="M945" i="11"/>
  <c r="L945" i="11"/>
  <c r="K945" i="11"/>
  <c r="J945" i="11"/>
  <c r="N944" i="11"/>
  <c r="M944" i="11"/>
  <c r="L944" i="11"/>
  <c r="K944" i="11"/>
  <c r="J944" i="11"/>
  <c r="N943" i="11"/>
  <c r="M943" i="11"/>
  <c r="L943" i="11"/>
  <c r="K943" i="11"/>
  <c r="J943" i="11"/>
  <c r="N942" i="11"/>
  <c r="M942" i="11"/>
  <c r="L942" i="11"/>
  <c r="K942" i="11"/>
  <c r="J942" i="11"/>
  <c r="N941" i="11"/>
  <c r="M941" i="11"/>
  <c r="L941" i="11"/>
  <c r="K941" i="11"/>
  <c r="J941" i="11"/>
  <c r="N940" i="11"/>
  <c r="M940" i="11"/>
  <c r="L940" i="11"/>
  <c r="K940" i="11"/>
  <c r="J940" i="11"/>
  <c r="N939" i="11"/>
  <c r="M939" i="11"/>
  <c r="L939" i="11"/>
  <c r="K939" i="11"/>
  <c r="J939" i="11"/>
  <c r="N938" i="11"/>
  <c r="M938" i="11"/>
  <c r="L938" i="11"/>
  <c r="K938" i="11"/>
  <c r="J938" i="11"/>
  <c r="N937" i="11"/>
  <c r="M937" i="11"/>
  <c r="L937" i="11"/>
  <c r="K937" i="11"/>
  <c r="J937" i="11"/>
  <c r="N936" i="11"/>
  <c r="M936" i="11"/>
  <c r="L936" i="11"/>
  <c r="K936" i="11"/>
  <c r="J936" i="11"/>
  <c r="N935" i="11"/>
  <c r="M935" i="11"/>
  <c r="L935" i="11"/>
  <c r="K935" i="11"/>
  <c r="J935" i="11"/>
  <c r="N934" i="11"/>
  <c r="M934" i="11"/>
  <c r="L934" i="11"/>
  <c r="K934" i="11"/>
  <c r="J934" i="11"/>
  <c r="N933" i="11"/>
  <c r="M933" i="11"/>
  <c r="L933" i="11"/>
  <c r="K933" i="11"/>
  <c r="J933" i="11"/>
  <c r="N932" i="11"/>
  <c r="M932" i="11"/>
  <c r="L932" i="11"/>
  <c r="K932" i="11"/>
  <c r="J932" i="11"/>
  <c r="N931" i="11"/>
  <c r="M931" i="11"/>
  <c r="L931" i="11"/>
  <c r="K931" i="11"/>
  <c r="J931" i="11"/>
  <c r="N930" i="11"/>
  <c r="M930" i="11"/>
  <c r="L930" i="11"/>
  <c r="K930" i="11"/>
  <c r="J930" i="11"/>
  <c r="N929" i="11"/>
  <c r="M929" i="11"/>
  <c r="L929" i="11"/>
  <c r="K929" i="11"/>
  <c r="J929" i="11"/>
  <c r="N928" i="11"/>
  <c r="M928" i="11"/>
  <c r="L928" i="11"/>
  <c r="K928" i="11"/>
  <c r="J928" i="11"/>
  <c r="N927" i="11"/>
  <c r="M927" i="11"/>
  <c r="L927" i="11"/>
  <c r="K927" i="11"/>
  <c r="J927" i="11"/>
  <c r="N926" i="11"/>
  <c r="M926" i="11"/>
  <c r="L926" i="11"/>
  <c r="K926" i="11"/>
  <c r="J926" i="11"/>
  <c r="N925" i="11"/>
  <c r="M925" i="11"/>
  <c r="L925" i="11"/>
  <c r="K925" i="11"/>
  <c r="J925" i="11"/>
  <c r="N924" i="11"/>
  <c r="M924" i="11"/>
  <c r="L924" i="11"/>
  <c r="K924" i="11"/>
  <c r="J924" i="11"/>
  <c r="N923" i="11"/>
  <c r="M923" i="11"/>
  <c r="L923" i="11"/>
  <c r="K923" i="11"/>
  <c r="J923" i="11"/>
  <c r="N922" i="11"/>
  <c r="M922" i="11"/>
  <c r="L922" i="11"/>
  <c r="K922" i="11"/>
  <c r="J922" i="11"/>
  <c r="N921" i="11"/>
  <c r="M921" i="11"/>
  <c r="L921" i="11"/>
  <c r="K921" i="11"/>
  <c r="J921" i="11"/>
  <c r="N920" i="11"/>
  <c r="M920" i="11"/>
  <c r="L920" i="11"/>
  <c r="K920" i="11"/>
  <c r="J920" i="11"/>
  <c r="N919" i="11"/>
  <c r="M919" i="11"/>
  <c r="L919" i="11"/>
  <c r="K919" i="11"/>
  <c r="J919" i="11"/>
  <c r="N918" i="11"/>
  <c r="M918" i="11"/>
  <c r="L918" i="11"/>
  <c r="K918" i="11"/>
  <c r="J918" i="11"/>
  <c r="N917" i="11"/>
  <c r="M917" i="11"/>
  <c r="L917" i="11"/>
  <c r="K917" i="11"/>
  <c r="J917" i="11"/>
  <c r="N916" i="11"/>
  <c r="M916" i="11"/>
  <c r="L916" i="11"/>
  <c r="K916" i="11"/>
  <c r="J916" i="11"/>
  <c r="N915" i="11"/>
  <c r="M915" i="11"/>
  <c r="L915" i="11"/>
  <c r="K915" i="11"/>
  <c r="J915" i="11"/>
  <c r="N914" i="11"/>
  <c r="M914" i="11"/>
  <c r="L914" i="11"/>
  <c r="K914" i="11"/>
  <c r="J914" i="11"/>
  <c r="N913" i="11"/>
  <c r="M913" i="11"/>
  <c r="L913" i="11"/>
  <c r="K913" i="11"/>
  <c r="J913" i="11"/>
  <c r="N912" i="11"/>
  <c r="M912" i="11"/>
  <c r="L912" i="11"/>
  <c r="K912" i="11"/>
  <c r="J912" i="11"/>
  <c r="N911" i="11"/>
  <c r="M911" i="11"/>
  <c r="L911" i="11"/>
  <c r="K911" i="11"/>
  <c r="J911" i="11"/>
  <c r="N910" i="11"/>
  <c r="M910" i="11"/>
  <c r="L910" i="11"/>
  <c r="K910" i="11"/>
  <c r="J910" i="11"/>
  <c r="N909" i="11"/>
  <c r="M909" i="11"/>
  <c r="L909" i="11"/>
  <c r="K909" i="11"/>
  <c r="J909" i="11"/>
  <c r="N908" i="11"/>
  <c r="M908" i="11"/>
  <c r="L908" i="11"/>
  <c r="K908" i="11"/>
  <c r="J908" i="11"/>
  <c r="N907" i="11"/>
  <c r="M907" i="11"/>
  <c r="L907" i="11"/>
  <c r="K907" i="11"/>
  <c r="J907" i="11"/>
  <c r="N906" i="11"/>
  <c r="M906" i="11"/>
  <c r="L906" i="11"/>
  <c r="K906" i="11"/>
  <c r="J906" i="11"/>
  <c r="N905" i="11"/>
  <c r="M905" i="11"/>
  <c r="L905" i="11"/>
  <c r="K905" i="11"/>
  <c r="J905" i="11"/>
  <c r="N904" i="11"/>
  <c r="M904" i="11"/>
  <c r="L904" i="11"/>
  <c r="K904" i="11"/>
  <c r="J904" i="11"/>
  <c r="N903" i="11"/>
  <c r="M903" i="11"/>
  <c r="L903" i="11"/>
  <c r="K903" i="11"/>
  <c r="J903" i="11"/>
  <c r="N902" i="11"/>
  <c r="M902" i="11"/>
  <c r="L902" i="11"/>
  <c r="K902" i="11"/>
  <c r="J902" i="11"/>
  <c r="N901" i="11"/>
  <c r="M901" i="11"/>
  <c r="L901" i="11"/>
  <c r="K901" i="11"/>
  <c r="J901" i="11"/>
  <c r="N900" i="11"/>
  <c r="M900" i="11"/>
  <c r="L900" i="11"/>
  <c r="K900" i="11"/>
  <c r="J900" i="11"/>
  <c r="N899" i="11"/>
  <c r="M899" i="11"/>
  <c r="L899" i="11"/>
  <c r="K899" i="11"/>
  <c r="J899" i="11"/>
  <c r="N898" i="11"/>
  <c r="M898" i="11"/>
  <c r="L898" i="11"/>
  <c r="K898" i="11"/>
  <c r="J898" i="11"/>
  <c r="N897" i="11"/>
  <c r="M897" i="11"/>
  <c r="L897" i="11"/>
  <c r="K897" i="11"/>
  <c r="J897" i="11"/>
  <c r="N896" i="11"/>
  <c r="M896" i="11"/>
  <c r="L896" i="11"/>
  <c r="K896" i="11"/>
  <c r="J896" i="11"/>
  <c r="N895" i="11"/>
  <c r="M895" i="11"/>
  <c r="L895" i="11"/>
  <c r="K895" i="11"/>
  <c r="J895" i="11"/>
  <c r="N894" i="11"/>
  <c r="M894" i="11"/>
  <c r="L894" i="11"/>
  <c r="K894" i="11"/>
  <c r="J894" i="11"/>
  <c r="N893" i="11"/>
  <c r="M893" i="11"/>
  <c r="L893" i="11"/>
  <c r="K893" i="11"/>
  <c r="J893" i="11"/>
  <c r="N892" i="11"/>
  <c r="M892" i="11"/>
  <c r="L892" i="11"/>
  <c r="K892" i="11"/>
  <c r="J892" i="11"/>
  <c r="N891" i="11"/>
  <c r="M891" i="11"/>
  <c r="L891" i="11"/>
  <c r="K891" i="11"/>
  <c r="J891" i="11"/>
  <c r="N890" i="11"/>
  <c r="M890" i="11"/>
  <c r="L890" i="11"/>
  <c r="K890" i="11"/>
  <c r="J890" i="11"/>
  <c r="N889" i="11"/>
  <c r="M889" i="11"/>
  <c r="L889" i="11"/>
  <c r="K889" i="11"/>
  <c r="J889" i="11"/>
  <c r="N888" i="11"/>
  <c r="M888" i="11"/>
  <c r="L888" i="11"/>
  <c r="K888" i="11"/>
  <c r="J888" i="11"/>
  <c r="N887" i="11"/>
  <c r="M887" i="11"/>
  <c r="L887" i="11"/>
  <c r="K887" i="11"/>
  <c r="J887" i="11"/>
  <c r="N886" i="11"/>
  <c r="M886" i="11"/>
  <c r="L886" i="11"/>
  <c r="K886" i="11"/>
  <c r="J886" i="11"/>
  <c r="N885" i="11"/>
  <c r="M885" i="11"/>
  <c r="L885" i="11"/>
  <c r="K885" i="11"/>
  <c r="J885" i="11"/>
  <c r="N884" i="11"/>
  <c r="M884" i="11"/>
  <c r="L884" i="11"/>
  <c r="K884" i="11"/>
  <c r="J884" i="11"/>
  <c r="N883" i="11"/>
  <c r="M883" i="11"/>
  <c r="L883" i="11"/>
  <c r="K883" i="11"/>
  <c r="J883" i="11"/>
  <c r="N882" i="11"/>
  <c r="M882" i="11"/>
  <c r="L882" i="11"/>
  <c r="K882" i="11"/>
  <c r="J882" i="11"/>
  <c r="N881" i="11"/>
  <c r="M881" i="11"/>
  <c r="L881" i="11"/>
  <c r="K881" i="11"/>
  <c r="J881" i="11"/>
  <c r="N880" i="11"/>
  <c r="M880" i="11"/>
  <c r="L880" i="11"/>
  <c r="K880" i="11"/>
  <c r="J880" i="11"/>
  <c r="N879" i="11"/>
  <c r="M879" i="11"/>
  <c r="L879" i="11"/>
  <c r="K879" i="11"/>
  <c r="J879" i="11"/>
  <c r="N878" i="11"/>
  <c r="M878" i="11"/>
  <c r="L878" i="11"/>
  <c r="K878" i="11"/>
  <c r="J878" i="11"/>
  <c r="N877" i="11"/>
  <c r="M877" i="11"/>
  <c r="L877" i="11"/>
  <c r="K877" i="11"/>
  <c r="J877" i="11"/>
  <c r="N876" i="11"/>
  <c r="M876" i="11"/>
  <c r="L876" i="11"/>
  <c r="K876" i="11"/>
  <c r="J876" i="11"/>
  <c r="N875" i="11"/>
  <c r="M875" i="11"/>
  <c r="L875" i="11"/>
  <c r="K875" i="11"/>
  <c r="J875" i="11"/>
  <c r="N874" i="11"/>
  <c r="M874" i="11"/>
  <c r="L874" i="11"/>
  <c r="K874" i="11"/>
  <c r="J874" i="11"/>
  <c r="N873" i="11"/>
  <c r="M873" i="11"/>
  <c r="L873" i="11"/>
  <c r="K873" i="11"/>
  <c r="J873" i="11"/>
  <c r="N872" i="11"/>
  <c r="M872" i="11"/>
  <c r="L872" i="11"/>
  <c r="K872" i="11"/>
  <c r="J872" i="11"/>
  <c r="N871" i="11"/>
  <c r="M871" i="11"/>
  <c r="L871" i="11"/>
  <c r="K871" i="11"/>
  <c r="J871" i="11"/>
  <c r="N870" i="11"/>
  <c r="M870" i="11"/>
  <c r="L870" i="11"/>
  <c r="K870" i="11"/>
  <c r="J870" i="11"/>
  <c r="N869" i="11"/>
  <c r="M869" i="11"/>
  <c r="L869" i="11"/>
  <c r="K869" i="11"/>
  <c r="J869" i="11"/>
  <c r="N868" i="11"/>
  <c r="M868" i="11"/>
  <c r="L868" i="11"/>
  <c r="K868" i="11"/>
  <c r="J868" i="11"/>
  <c r="N867" i="11"/>
  <c r="M867" i="11"/>
  <c r="L867" i="11"/>
  <c r="K867" i="11"/>
  <c r="J867" i="11"/>
  <c r="N866" i="11"/>
  <c r="M866" i="11"/>
  <c r="L866" i="11"/>
  <c r="K866" i="11"/>
  <c r="J866" i="11"/>
  <c r="N865" i="11"/>
  <c r="M865" i="11"/>
  <c r="L865" i="11"/>
  <c r="K865" i="11"/>
  <c r="J865" i="11"/>
  <c r="N864" i="11"/>
  <c r="M864" i="11"/>
  <c r="L864" i="11"/>
  <c r="K864" i="11"/>
  <c r="J864" i="11"/>
  <c r="N863" i="11"/>
  <c r="M863" i="11"/>
  <c r="L863" i="11"/>
  <c r="K863" i="11"/>
  <c r="J863" i="11"/>
  <c r="N862" i="11"/>
  <c r="M862" i="11"/>
  <c r="L862" i="11"/>
  <c r="K862" i="11"/>
  <c r="J862" i="11"/>
  <c r="N861" i="11"/>
  <c r="M861" i="11"/>
  <c r="L861" i="11"/>
  <c r="K861" i="11"/>
  <c r="J861" i="11"/>
  <c r="N860" i="11"/>
  <c r="M860" i="11"/>
  <c r="L860" i="11"/>
  <c r="K860" i="11"/>
  <c r="J860" i="11"/>
  <c r="N859" i="11"/>
  <c r="M859" i="11"/>
  <c r="L859" i="11"/>
  <c r="K859" i="11"/>
  <c r="J859" i="11"/>
  <c r="N858" i="11"/>
  <c r="M858" i="11"/>
  <c r="L858" i="11"/>
  <c r="K858" i="11"/>
  <c r="J858" i="11"/>
  <c r="N857" i="11"/>
  <c r="M857" i="11"/>
  <c r="L857" i="11"/>
  <c r="K857" i="11"/>
  <c r="J857" i="11"/>
  <c r="N856" i="11"/>
  <c r="M856" i="11"/>
  <c r="L856" i="11"/>
  <c r="K856" i="11"/>
  <c r="J856" i="11"/>
  <c r="N855" i="11"/>
  <c r="M855" i="11"/>
  <c r="L855" i="11"/>
  <c r="K855" i="11"/>
  <c r="J855" i="11"/>
  <c r="N854" i="11"/>
  <c r="M854" i="11"/>
  <c r="L854" i="11"/>
  <c r="K854" i="11"/>
  <c r="J854" i="11"/>
  <c r="N853" i="11"/>
  <c r="M853" i="11"/>
  <c r="L853" i="11"/>
  <c r="K853" i="11"/>
  <c r="J853" i="11"/>
  <c r="N852" i="11"/>
  <c r="M852" i="11"/>
  <c r="L852" i="11"/>
  <c r="K852" i="11"/>
  <c r="J852" i="11"/>
  <c r="N851" i="11"/>
  <c r="M851" i="11"/>
  <c r="L851" i="11"/>
  <c r="K851" i="11"/>
  <c r="J851" i="11"/>
  <c r="N850" i="11"/>
  <c r="M850" i="11"/>
  <c r="L850" i="11"/>
  <c r="K850" i="11"/>
  <c r="J850" i="11"/>
  <c r="N849" i="11"/>
  <c r="M849" i="11"/>
  <c r="L849" i="11"/>
  <c r="K849" i="11"/>
  <c r="J849" i="11"/>
  <c r="N848" i="11"/>
  <c r="M848" i="11"/>
  <c r="L848" i="11"/>
  <c r="K848" i="11"/>
  <c r="J848" i="11"/>
  <c r="N847" i="11"/>
  <c r="M847" i="11"/>
  <c r="L847" i="11"/>
  <c r="K847" i="11"/>
  <c r="J847" i="11"/>
  <c r="N846" i="11"/>
  <c r="M846" i="11"/>
  <c r="L846" i="11"/>
  <c r="K846" i="11"/>
  <c r="J846" i="11"/>
  <c r="N845" i="11"/>
  <c r="M845" i="11"/>
  <c r="L845" i="11"/>
  <c r="K845" i="11"/>
  <c r="J845" i="11"/>
  <c r="N844" i="11"/>
  <c r="M844" i="11"/>
  <c r="L844" i="11"/>
  <c r="K844" i="11"/>
  <c r="J844" i="11"/>
  <c r="N843" i="11"/>
  <c r="M843" i="11"/>
  <c r="L843" i="11"/>
  <c r="K843" i="11"/>
  <c r="J843" i="11"/>
  <c r="N842" i="11"/>
  <c r="M842" i="11"/>
  <c r="L842" i="11"/>
  <c r="K842" i="11"/>
  <c r="J842" i="11"/>
  <c r="N841" i="11"/>
  <c r="M841" i="11"/>
  <c r="L841" i="11"/>
  <c r="K841" i="11"/>
  <c r="J841" i="11"/>
  <c r="N840" i="11"/>
  <c r="M840" i="11"/>
  <c r="L840" i="11"/>
  <c r="K840" i="11"/>
  <c r="J840" i="11"/>
  <c r="N839" i="11"/>
  <c r="M839" i="11"/>
  <c r="L839" i="11"/>
  <c r="K839" i="11"/>
  <c r="J839" i="11"/>
  <c r="N838" i="11"/>
  <c r="M838" i="11"/>
  <c r="L838" i="11"/>
  <c r="K838" i="11"/>
  <c r="J838" i="11"/>
  <c r="N837" i="11"/>
  <c r="M837" i="11"/>
  <c r="L837" i="11"/>
  <c r="K837" i="11"/>
  <c r="J837" i="11"/>
  <c r="N836" i="11"/>
  <c r="M836" i="11"/>
  <c r="L836" i="11"/>
  <c r="K836" i="11"/>
  <c r="J836" i="11"/>
  <c r="N835" i="11"/>
  <c r="M835" i="11"/>
  <c r="L835" i="11"/>
  <c r="K835" i="11"/>
  <c r="J835" i="11"/>
  <c r="N834" i="11"/>
  <c r="M834" i="11"/>
  <c r="L834" i="11"/>
  <c r="K834" i="11"/>
  <c r="J834" i="11"/>
  <c r="N833" i="11"/>
  <c r="M833" i="11"/>
  <c r="L833" i="11"/>
  <c r="K833" i="11"/>
  <c r="J833" i="11"/>
  <c r="N832" i="11"/>
  <c r="M832" i="11"/>
  <c r="L832" i="11"/>
  <c r="K832" i="11"/>
  <c r="J832" i="11"/>
  <c r="N831" i="11"/>
  <c r="M831" i="11"/>
  <c r="L831" i="11"/>
  <c r="K831" i="11"/>
  <c r="J831" i="11"/>
  <c r="N830" i="11"/>
  <c r="M830" i="11"/>
  <c r="L830" i="11"/>
  <c r="K830" i="11"/>
  <c r="J830" i="11"/>
  <c r="N829" i="11"/>
  <c r="M829" i="11"/>
  <c r="L829" i="11"/>
  <c r="K829" i="11"/>
  <c r="J829" i="11"/>
  <c r="N828" i="11"/>
  <c r="M828" i="11"/>
  <c r="L828" i="11"/>
  <c r="K828" i="11"/>
  <c r="J828" i="11"/>
  <c r="N827" i="11"/>
  <c r="M827" i="11"/>
  <c r="L827" i="11"/>
  <c r="K827" i="11"/>
  <c r="J827" i="11"/>
  <c r="N826" i="11"/>
  <c r="M826" i="11"/>
  <c r="L826" i="11"/>
  <c r="K826" i="11"/>
  <c r="J826" i="11"/>
  <c r="N825" i="11"/>
  <c r="M825" i="11"/>
  <c r="L825" i="11"/>
  <c r="K825" i="11"/>
  <c r="J825" i="11"/>
  <c r="N824" i="11"/>
  <c r="M824" i="11"/>
  <c r="L824" i="11"/>
  <c r="K824" i="11"/>
  <c r="J824" i="11"/>
  <c r="N823" i="11"/>
  <c r="M823" i="11"/>
  <c r="L823" i="11"/>
  <c r="K823" i="11"/>
  <c r="J823" i="11"/>
  <c r="N822" i="11"/>
  <c r="M822" i="11"/>
  <c r="L822" i="11"/>
  <c r="K822" i="11"/>
  <c r="J822" i="11"/>
  <c r="N821" i="11"/>
  <c r="M821" i="11"/>
  <c r="L821" i="11"/>
  <c r="K821" i="11"/>
  <c r="J821" i="11"/>
  <c r="N820" i="11"/>
  <c r="M820" i="11"/>
  <c r="L820" i="11"/>
  <c r="K820" i="11"/>
  <c r="J820" i="11"/>
  <c r="N819" i="11"/>
  <c r="M819" i="11"/>
  <c r="L819" i="11"/>
  <c r="K819" i="11"/>
  <c r="J819" i="11"/>
  <c r="N818" i="11"/>
  <c r="M818" i="11"/>
  <c r="L818" i="11"/>
  <c r="K818" i="11"/>
  <c r="J818" i="11"/>
  <c r="N817" i="11"/>
  <c r="M817" i="11"/>
  <c r="L817" i="11"/>
  <c r="K817" i="11"/>
  <c r="J817" i="11"/>
  <c r="N816" i="11"/>
  <c r="M816" i="11"/>
  <c r="L816" i="11"/>
  <c r="K816" i="11"/>
  <c r="J816" i="11"/>
  <c r="N815" i="11"/>
  <c r="M815" i="11"/>
  <c r="L815" i="11"/>
  <c r="K815" i="11"/>
  <c r="J815" i="11"/>
  <c r="N814" i="11"/>
  <c r="M814" i="11"/>
  <c r="L814" i="11"/>
  <c r="K814" i="11"/>
  <c r="J814" i="11"/>
  <c r="N813" i="11"/>
  <c r="M813" i="11"/>
  <c r="L813" i="11"/>
  <c r="K813" i="11"/>
  <c r="J813" i="11"/>
  <c r="N812" i="11"/>
  <c r="M812" i="11"/>
  <c r="L812" i="11"/>
  <c r="K812" i="11"/>
  <c r="J812" i="11"/>
  <c r="N811" i="11"/>
  <c r="M811" i="11"/>
  <c r="L811" i="11"/>
  <c r="K811" i="11"/>
  <c r="J811" i="11"/>
  <c r="N810" i="11"/>
  <c r="M810" i="11"/>
  <c r="L810" i="11"/>
  <c r="K810" i="11"/>
  <c r="J810" i="11"/>
  <c r="N809" i="11"/>
  <c r="M809" i="11"/>
  <c r="L809" i="11"/>
  <c r="K809" i="11"/>
  <c r="J809" i="11"/>
  <c r="N808" i="11"/>
  <c r="M808" i="11"/>
  <c r="L808" i="11"/>
  <c r="K808" i="11"/>
  <c r="J808" i="11"/>
  <c r="N807" i="11"/>
  <c r="M807" i="11"/>
  <c r="L807" i="11"/>
  <c r="K807" i="11"/>
  <c r="J807" i="11"/>
  <c r="N806" i="11"/>
  <c r="M806" i="11"/>
  <c r="L806" i="11"/>
  <c r="K806" i="11"/>
  <c r="J806" i="11"/>
  <c r="N805" i="11"/>
  <c r="M805" i="11"/>
  <c r="L805" i="11"/>
  <c r="K805" i="11"/>
  <c r="J805" i="11"/>
  <c r="N804" i="11"/>
  <c r="M804" i="11"/>
  <c r="L804" i="11"/>
  <c r="K804" i="11"/>
  <c r="J804" i="11"/>
  <c r="N803" i="11"/>
  <c r="M803" i="11"/>
  <c r="L803" i="11"/>
  <c r="K803" i="11"/>
  <c r="J803" i="11"/>
  <c r="N802" i="11"/>
  <c r="M802" i="11"/>
  <c r="L802" i="11"/>
  <c r="K802" i="11"/>
  <c r="J802" i="11"/>
  <c r="N801" i="11"/>
  <c r="M801" i="11"/>
  <c r="L801" i="11"/>
  <c r="K801" i="11"/>
  <c r="J801" i="11"/>
  <c r="N800" i="11"/>
  <c r="M800" i="11"/>
  <c r="L800" i="11"/>
  <c r="K800" i="11"/>
  <c r="J800" i="11"/>
  <c r="N799" i="11"/>
  <c r="M799" i="11"/>
  <c r="L799" i="11"/>
  <c r="K799" i="11"/>
  <c r="J799" i="11"/>
  <c r="N798" i="11"/>
  <c r="M798" i="11"/>
  <c r="L798" i="11"/>
  <c r="K798" i="11"/>
  <c r="J798" i="11"/>
  <c r="N797" i="11"/>
  <c r="M797" i="11"/>
  <c r="L797" i="11"/>
  <c r="K797" i="11"/>
  <c r="J797" i="11"/>
  <c r="N796" i="11"/>
  <c r="M796" i="11"/>
  <c r="L796" i="11"/>
  <c r="K796" i="11"/>
  <c r="J796" i="11"/>
  <c r="N795" i="11"/>
  <c r="M795" i="11"/>
  <c r="L795" i="11"/>
  <c r="K795" i="11"/>
  <c r="J795" i="11"/>
  <c r="N794" i="11"/>
  <c r="M794" i="11"/>
  <c r="L794" i="11"/>
  <c r="K794" i="11"/>
  <c r="J794" i="11"/>
  <c r="N793" i="11"/>
  <c r="M793" i="11"/>
  <c r="L793" i="11"/>
  <c r="K793" i="11"/>
  <c r="J793" i="11"/>
  <c r="N792" i="11"/>
  <c r="M792" i="11"/>
  <c r="L792" i="11"/>
  <c r="K792" i="11"/>
  <c r="J792" i="11"/>
  <c r="N791" i="11"/>
  <c r="M791" i="11"/>
  <c r="L791" i="11"/>
  <c r="K791" i="11"/>
  <c r="J791" i="11"/>
  <c r="N790" i="11"/>
  <c r="M790" i="11"/>
  <c r="L790" i="11"/>
  <c r="K790" i="11"/>
  <c r="J790" i="11"/>
  <c r="N789" i="11"/>
  <c r="M789" i="11"/>
  <c r="L789" i="11"/>
  <c r="K789" i="11"/>
  <c r="J789" i="11"/>
  <c r="N788" i="11"/>
  <c r="M788" i="11"/>
  <c r="L788" i="11"/>
  <c r="K788" i="11"/>
  <c r="J788" i="11"/>
  <c r="N787" i="11"/>
  <c r="M787" i="11"/>
  <c r="L787" i="11"/>
  <c r="K787" i="11"/>
  <c r="J787" i="11"/>
  <c r="N786" i="11"/>
  <c r="M786" i="11"/>
  <c r="L786" i="11"/>
  <c r="K786" i="11"/>
  <c r="J786" i="11"/>
  <c r="N785" i="11"/>
  <c r="M785" i="11"/>
  <c r="L785" i="11"/>
  <c r="K785" i="11"/>
  <c r="J785" i="11"/>
  <c r="N784" i="11"/>
  <c r="M784" i="11"/>
  <c r="L784" i="11"/>
  <c r="K784" i="11"/>
  <c r="J784" i="11"/>
  <c r="N783" i="11"/>
  <c r="M783" i="11"/>
  <c r="L783" i="11"/>
  <c r="K783" i="11"/>
  <c r="J783" i="11"/>
  <c r="N782" i="11"/>
  <c r="M782" i="11"/>
  <c r="L782" i="11"/>
  <c r="K782" i="11"/>
  <c r="J782" i="11"/>
  <c r="N781" i="11"/>
  <c r="M781" i="11"/>
  <c r="L781" i="11"/>
  <c r="K781" i="11"/>
  <c r="J781" i="11"/>
  <c r="N780" i="11"/>
  <c r="M780" i="11"/>
  <c r="L780" i="11"/>
  <c r="K780" i="11"/>
  <c r="J780" i="11"/>
  <c r="N779" i="11"/>
  <c r="M779" i="11"/>
  <c r="L779" i="11"/>
  <c r="K779" i="11"/>
  <c r="J779" i="11"/>
  <c r="N778" i="11"/>
  <c r="M778" i="11"/>
  <c r="L778" i="11"/>
  <c r="K778" i="11"/>
  <c r="J778" i="11"/>
  <c r="N777" i="11"/>
  <c r="M777" i="11"/>
  <c r="L777" i="11"/>
  <c r="K777" i="11"/>
  <c r="J777" i="11"/>
  <c r="N776" i="11"/>
  <c r="M776" i="11"/>
  <c r="L776" i="11"/>
  <c r="K776" i="11"/>
  <c r="J776" i="11"/>
  <c r="N775" i="11"/>
  <c r="M775" i="11"/>
  <c r="L775" i="11"/>
  <c r="K775" i="11"/>
  <c r="J775" i="11"/>
  <c r="N774" i="11"/>
  <c r="M774" i="11"/>
  <c r="L774" i="11"/>
  <c r="K774" i="11"/>
  <c r="J774" i="11"/>
  <c r="N773" i="11"/>
  <c r="M773" i="11"/>
  <c r="L773" i="11"/>
  <c r="K773" i="11"/>
  <c r="J773" i="11"/>
  <c r="N772" i="11"/>
  <c r="M772" i="11"/>
  <c r="L772" i="11"/>
  <c r="K772" i="11"/>
  <c r="J772" i="11"/>
  <c r="N771" i="11"/>
  <c r="M771" i="11"/>
  <c r="L771" i="11"/>
  <c r="K771" i="11"/>
  <c r="J771" i="11"/>
  <c r="N770" i="11"/>
  <c r="M770" i="11"/>
  <c r="L770" i="11"/>
  <c r="K770" i="11"/>
  <c r="J770" i="11"/>
  <c r="N769" i="11"/>
  <c r="M769" i="11"/>
  <c r="L769" i="11"/>
  <c r="K769" i="11"/>
  <c r="J769" i="11"/>
  <c r="N768" i="11"/>
  <c r="M768" i="11"/>
  <c r="L768" i="11"/>
  <c r="K768" i="11"/>
  <c r="J768" i="11"/>
  <c r="N767" i="11"/>
  <c r="M767" i="11"/>
  <c r="L767" i="11"/>
  <c r="K767" i="11"/>
  <c r="J767" i="11"/>
  <c r="N766" i="11"/>
  <c r="M766" i="11"/>
  <c r="L766" i="11"/>
  <c r="K766" i="11"/>
  <c r="J766" i="11"/>
  <c r="N765" i="11"/>
  <c r="M765" i="11"/>
  <c r="L765" i="11"/>
  <c r="K765" i="11"/>
  <c r="J765" i="11"/>
  <c r="N764" i="11"/>
  <c r="M764" i="11"/>
  <c r="L764" i="11"/>
  <c r="K764" i="11"/>
  <c r="J764" i="11"/>
  <c r="N763" i="11"/>
  <c r="M763" i="11"/>
  <c r="L763" i="11"/>
  <c r="K763" i="11"/>
  <c r="J763" i="11"/>
  <c r="N762" i="11"/>
  <c r="M762" i="11"/>
  <c r="L762" i="11"/>
  <c r="K762" i="11"/>
  <c r="J762" i="11"/>
  <c r="N761" i="11"/>
  <c r="M761" i="11"/>
  <c r="L761" i="11"/>
  <c r="K761" i="11"/>
  <c r="J761" i="11"/>
  <c r="N760" i="11"/>
  <c r="M760" i="11"/>
  <c r="L760" i="11"/>
  <c r="K760" i="11"/>
  <c r="J760" i="11"/>
  <c r="N759" i="11"/>
  <c r="M759" i="11"/>
  <c r="L759" i="11"/>
  <c r="K759" i="11"/>
  <c r="J759" i="11"/>
  <c r="N758" i="11"/>
  <c r="M758" i="11"/>
  <c r="L758" i="11"/>
  <c r="K758" i="11"/>
  <c r="J758" i="11"/>
  <c r="N757" i="11"/>
  <c r="M757" i="11"/>
  <c r="L757" i="11"/>
  <c r="K757" i="11"/>
  <c r="J757" i="11"/>
  <c r="N756" i="11"/>
  <c r="M756" i="11"/>
  <c r="L756" i="11"/>
  <c r="K756" i="11"/>
  <c r="J756" i="11"/>
  <c r="N755" i="11"/>
  <c r="M755" i="11"/>
  <c r="L755" i="11"/>
  <c r="K755" i="11"/>
  <c r="J755" i="11"/>
  <c r="N754" i="11"/>
  <c r="M754" i="11"/>
  <c r="L754" i="11"/>
  <c r="K754" i="11"/>
  <c r="J754" i="11"/>
  <c r="N753" i="11"/>
  <c r="M753" i="11"/>
  <c r="L753" i="11"/>
  <c r="K753" i="11"/>
  <c r="J753" i="11"/>
  <c r="N752" i="11"/>
  <c r="M752" i="11"/>
  <c r="L752" i="11"/>
  <c r="K752" i="11"/>
  <c r="J752" i="11"/>
  <c r="N751" i="11"/>
  <c r="M751" i="11"/>
  <c r="L751" i="11"/>
  <c r="K751" i="11"/>
  <c r="J751" i="11"/>
  <c r="N750" i="11"/>
  <c r="M750" i="11"/>
  <c r="L750" i="11"/>
  <c r="K750" i="11"/>
  <c r="J750" i="11"/>
  <c r="N749" i="11"/>
  <c r="M749" i="11"/>
  <c r="L749" i="11"/>
  <c r="K749" i="11"/>
  <c r="J749" i="11"/>
  <c r="N748" i="11"/>
  <c r="M748" i="11"/>
  <c r="L748" i="11"/>
  <c r="K748" i="11"/>
  <c r="J748" i="11"/>
  <c r="N747" i="11"/>
  <c r="M747" i="11"/>
  <c r="L747" i="11"/>
  <c r="K747" i="11"/>
  <c r="J747" i="11"/>
  <c r="N746" i="11"/>
  <c r="M746" i="11"/>
  <c r="L746" i="11"/>
  <c r="K746" i="11"/>
  <c r="J746" i="11"/>
  <c r="N745" i="11"/>
  <c r="M745" i="11"/>
  <c r="L745" i="11"/>
  <c r="K745" i="11"/>
  <c r="J745" i="11"/>
  <c r="N744" i="11"/>
  <c r="M744" i="11"/>
  <c r="L744" i="11"/>
  <c r="K744" i="11"/>
  <c r="J744" i="11"/>
  <c r="N743" i="11"/>
  <c r="M743" i="11"/>
  <c r="L743" i="11"/>
  <c r="K743" i="11"/>
  <c r="J743" i="11"/>
  <c r="N742" i="11"/>
  <c r="M742" i="11"/>
  <c r="L742" i="11"/>
  <c r="K742" i="11"/>
  <c r="J742" i="11"/>
  <c r="N741" i="11"/>
  <c r="M741" i="11"/>
  <c r="L741" i="11"/>
  <c r="K741" i="11"/>
  <c r="J741" i="11"/>
  <c r="N740" i="11"/>
  <c r="M740" i="11"/>
  <c r="L740" i="11"/>
  <c r="K740" i="11"/>
  <c r="J740" i="11"/>
  <c r="N739" i="11"/>
  <c r="M739" i="11"/>
  <c r="L739" i="11"/>
  <c r="K739" i="11"/>
  <c r="J739" i="11"/>
  <c r="N738" i="11"/>
  <c r="M738" i="11"/>
  <c r="L738" i="11"/>
  <c r="K738" i="11"/>
  <c r="J738" i="11"/>
  <c r="N737" i="11"/>
  <c r="M737" i="11"/>
  <c r="L737" i="11"/>
  <c r="K737" i="11"/>
  <c r="J737" i="11"/>
  <c r="N736" i="11"/>
  <c r="M736" i="11"/>
  <c r="L736" i="11"/>
  <c r="K736" i="11"/>
  <c r="J736" i="11"/>
  <c r="N735" i="11"/>
  <c r="M735" i="11"/>
  <c r="L735" i="11"/>
  <c r="K735" i="11"/>
  <c r="J735" i="11"/>
  <c r="N734" i="11"/>
  <c r="M734" i="11"/>
  <c r="L734" i="11"/>
  <c r="K734" i="11"/>
  <c r="J734" i="11"/>
  <c r="N733" i="11"/>
  <c r="M733" i="11"/>
  <c r="L733" i="11"/>
  <c r="K733" i="11"/>
  <c r="J733" i="11"/>
  <c r="N732" i="11"/>
  <c r="M732" i="11"/>
  <c r="L732" i="11"/>
  <c r="K732" i="11"/>
  <c r="J732" i="11"/>
  <c r="N731" i="11"/>
  <c r="M731" i="11"/>
  <c r="L731" i="11"/>
  <c r="K731" i="11"/>
  <c r="J731" i="11"/>
  <c r="N730" i="11"/>
  <c r="M730" i="11"/>
  <c r="L730" i="11"/>
  <c r="K730" i="11"/>
  <c r="J730" i="11"/>
  <c r="N729" i="11"/>
  <c r="M729" i="11"/>
  <c r="L729" i="11"/>
  <c r="K729" i="11"/>
  <c r="J729" i="11"/>
  <c r="N728" i="11"/>
  <c r="M728" i="11"/>
  <c r="L728" i="11"/>
  <c r="K728" i="11"/>
  <c r="J728" i="11"/>
  <c r="N727" i="11"/>
  <c r="M727" i="11"/>
  <c r="L727" i="11"/>
  <c r="K727" i="11"/>
  <c r="J727" i="11"/>
  <c r="N726" i="11"/>
  <c r="M726" i="11"/>
  <c r="L726" i="11"/>
  <c r="K726" i="11"/>
  <c r="J726" i="11"/>
  <c r="N725" i="11"/>
  <c r="M725" i="11"/>
  <c r="L725" i="11"/>
  <c r="K725" i="11"/>
  <c r="J725" i="11"/>
  <c r="N724" i="11"/>
  <c r="M724" i="11"/>
  <c r="L724" i="11"/>
  <c r="K724" i="11"/>
  <c r="J724" i="11"/>
  <c r="N723" i="11"/>
  <c r="M723" i="11"/>
  <c r="L723" i="11"/>
  <c r="K723" i="11"/>
  <c r="J723" i="11"/>
  <c r="N722" i="11"/>
  <c r="M722" i="11"/>
  <c r="L722" i="11"/>
  <c r="K722" i="11"/>
  <c r="J722" i="11"/>
  <c r="N721" i="11"/>
  <c r="M721" i="11"/>
  <c r="L721" i="11"/>
  <c r="K721" i="11"/>
  <c r="J721" i="11"/>
  <c r="N720" i="11"/>
  <c r="M720" i="11"/>
  <c r="L720" i="11"/>
  <c r="K720" i="11"/>
  <c r="J720" i="11"/>
  <c r="N719" i="11"/>
  <c r="M719" i="11"/>
  <c r="L719" i="11"/>
  <c r="K719" i="11"/>
  <c r="J719" i="11"/>
  <c r="N718" i="11"/>
  <c r="M718" i="11"/>
  <c r="L718" i="11"/>
  <c r="K718" i="11"/>
  <c r="J718" i="11"/>
  <c r="N717" i="11"/>
  <c r="M717" i="11"/>
  <c r="L717" i="11"/>
  <c r="K717" i="11"/>
  <c r="J717" i="11"/>
  <c r="N716" i="11"/>
  <c r="M716" i="11"/>
  <c r="L716" i="11"/>
  <c r="K716" i="11"/>
  <c r="J716" i="11"/>
  <c r="N715" i="11"/>
  <c r="M715" i="11"/>
  <c r="L715" i="11"/>
  <c r="K715" i="11"/>
  <c r="J715" i="11"/>
  <c r="N714" i="11"/>
  <c r="M714" i="11"/>
  <c r="L714" i="11"/>
  <c r="K714" i="11"/>
  <c r="J714" i="11"/>
  <c r="N713" i="11"/>
  <c r="M713" i="11"/>
  <c r="L713" i="11"/>
  <c r="K713" i="11"/>
  <c r="J713" i="11"/>
  <c r="N712" i="11"/>
  <c r="M712" i="11"/>
  <c r="L712" i="11"/>
  <c r="K712" i="11"/>
  <c r="J712" i="11"/>
  <c r="N711" i="11"/>
  <c r="M711" i="11"/>
  <c r="L711" i="11"/>
  <c r="K711" i="11"/>
  <c r="J711" i="11"/>
  <c r="N710" i="11"/>
  <c r="M710" i="11"/>
  <c r="L710" i="11"/>
  <c r="K710" i="11"/>
  <c r="J710" i="11"/>
  <c r="N709" i="11"/>
  <c r="M709" i="11"/>
  <c r="L709" i="11"/>
  <c r="K709" i="11"/>
  <c r="J709" i="11"/>
  <c r="N708" i="11"/>
  <c r="M708" i="11"/>
  <c r="L708" i="11"/>
  <c r="K708" i="11"/>
  <c r="J708" i="11"/>
  <c r="N707" i="11"/>
  <c r="M707" i="11"/>
  <c r="L707" i="11"/>
  <c r="K707" i="11"/>
  <c r="J707" i="11"/>
  <c r="N706" i="11"/>
  <c r="M706" i="11"/>
  <c r="L706" i="11"/>
  <c r="K706" i="11"/>
  <c r="J706" i="11"/>
  <c r="N705" i="11"/>
  <c r="M705" i="11"/>
  <c r="L705" i="11"/>
  <c r="K705" i="11"/>
  <c r="J705" i="11"/>
  <c r="N704" i="11"/>
  <c r="M704" i="11"/>
  <c r="L704" i="11"/>
  <c r="K704" i="11"/>
  <c r="J704" i="11"/>
  <c r="N703" i="11"/>
  <c r="M703" i="11"/>
  <c r="L703" i="11"/>
  <c r="K703" i="11"/>
  <c r="J703" i="11"/>
  <c r="N702" i="11"/>
  <c r="M702" i="11"/>
  <c r="L702" i="11"/>
  <c r="K702" i="11"/>
  <c r="J702" i="11"/>
  <c r="N701" i="11"/>
  <c r="M701" i="11"/>
  <c r="L701" i="11"/>
  <c r="K701" i="11"/>
  <c r="J701" i="11"/>
  <c r="N700" i="11"/>
  <c r="M700" i="11"/>
  <c r="L700" i="11"/>
  <c r="K700" i="11"/>
  <c r="J700" i="11"/>
  <c r="N699" i="11"/>
  <c r="M699" i="11"/>
  <c r="L699" i="11"/>
  <c r="K699" i="11"/>
  <c r="J699" i="11"/>
  <c r="N698" i="11"/>
  <c r="M698" i="11"/>
  <c r="L698" i="11"/>
  <c r="K698" i="11"/>
  <c r="J698" i="11"/>
  <c r="N697" i="11"/>
  <c r="M697" i="11"/>
  <c r="L697" i="11"/>
  <c r="K697" i="11"/>
  <c r="J697" i="11"/>
  <c r="N696" i="11"/>
  <c r="M696" i="11"/>
  <c r="L696" i="11"/>
  <c r="K696" i="11"/>
  <c r="J696" i="11"/>
  <c r="N695" i="11"/>
  <c r="M695" i="11"/>
  <c r="L695" i="11"/>
  <c r="K695" i="11"/>
  <c r="J695" i="11"/>
  <c r="N694" i="11"/>
  <c r="M694" i="11"/>
  <c r="L694" i="11"/>
  <c r="K694" i="11"/>
  <c r="J694" i="11"/>
  <c r="N693" i="11"/>
  <c r="M693" i="11"/>
  <c r="L693" i="11"/>
  <c r="K693" i="11"/>
  <c r="J693" i="11"/>
  <c r="N692" i="11"/>
  <c r="M692" i="11"/>
  <c r="L692" i="11"/>
  <c r="K692" i="11"/>
  <c r="J692" i="11"/>
  <c r="N691" i="11"/>
  <c r="M691" i="11"/>
  <c r="L691" i="11"/>
  <c r="K691" i="11"/>
  <c r="J691" i="11"/>
  <c r="N690" i="11"/>
  <c r="M690" i="11"/>
  <c r="L690" i="11"/>
  <c r="K690" i="11"/>
  <c r="J690" i="11"/>
  <c r="N689" i="11"/>
  <c r="M689" i="11"/>
  <c r="L689" i="11"/>
  <c r="K689" i="11"/>
  <c r="J689" i="11"/>
  <c r="N688" i="11"/>
  <c r="M688" i="11"/>
  <c r="L688" i="11"/>
  <c r="K688" i="11"/>
  <c r="J688" i="11"/>
  <c r="N687" i="11"/>
  <c r="M687" i="11"/>
  <c r="L687" i="11"/>
  <c r="K687" i="11"/>
  <c r="J687" i="11"/>
  <c r="N686" i="11"/>
  <c r="M686" i="11"/>
  <c r="L686" i="11"/>
  <c r="K686" i="11"/>
  <c r="J686" i="11"/>
  <c r="N685" i="11"/>
  <c r="M685" i="11"/>
  <c r="L685" i="11"/>
  <c r="K685" i="11"/>
  <c r="J685" i="11"/>
  <c r="N684" i="11"/>
  <c r="M684" i="11"/>
  <c r="L684" i="11"/>
  <c r="K684" i="11"/>
  <c r="J684" i="11"/>
  <c r="N683" i="11"/>
  <c r="M683" i="11"/>
  <c r="L683" i="11"/>
  <c r="K683" i="11"/>
  <c r="J683" i="11"/>
  <c r="N682" i="11"/>
  <c r="M682" i="11"/>
  <c r="L682" i="11"/>
  <c r="K682" i="11"/>
  <c r="J682" i="11"/>
  <c r="N681" i="11"/>
  <c r="M681" i="11"/>
  <c r="L681" i="11"/>
  <c r="K681" i="11"/>
  <c r="J681" i="11"/>
  <c r="N680" i="11"/>
  <c r="M680" i="11"/>
  <c r="L680" i="11"/>
  <c r="K680" i="11"/>
  <c r="J680" i="11"/>
  <c r="N679" i="11"/>
  <c r="M679" i="11"/>
  <c r="L679" i="11"/>
  <c r="K679" i="11"/>
  <c r="J679" i="11"/>
  <c r="N678" i="11"/>
  <c r="M678" i="11"/>
  <c r="L678" i="11"/>
  <c r="K678" i="11"/>
  <c r="J678" i="11"/>
  <c r="N677" i="11"/>
  <c r="M677" i="11"/>
  <c r="L677" i="11"/>
  <c r="K677" i="11"/>
  <c r="J677" i="11"/>
  <c r="N676" i="11"/>
  <c r="M676" i="11"/>
  <c r="L676" i="11"/>
  <c r="K676" i="11"/>
  <c r="J676" i="11"/>
  <c r="N675" i="11"/>
  <c r="M675" i="11"/>
  <c r="L675" i="11"/>
  <c r="K675" i="11"/>
  <c r="J675" i="11"/>
  <c r="N674" i="11"/>
  <c r="M674" i="11"/>
  <c r="L674" i="11"/>
  <c r="K674" i="11"/>
  <c r="J674" i="11"/>
  <c r="N673" i="11"/>
  <c r="M673" i="11"/>
  <c r="L673" i="11"/>
  <c r="K673" i="11"/>
  <c r="J673" i="11"/>
  <c r="N672" i="11"/>
  <c r="M672" i="11"/>
  <c r="L672" i="11"/>
  <c r="K672" i="11"/>
  <c r="J672" i="11"/>
  <c r="N671" i="11"/>
  <c r="M671" i="11"/>
  <c r="L671" i="11"/>
  <c r="K671" i="11"/>
  <c r="J671" i="11"/>
  <c r="N670" i="11"/>
  <c r="M670" i="11"/>
  <c r="L670" i="11"/>
  <c r="K670" i="11"/>
  <c r="J670" i="11"/>
  <c r="N669" i="11"/>
  <c r="M669" i="11"/>
  <c r="L669" i="11"/>
  <c r="K669" i="11"/>
  <c r="J669" i="11"/>
  <c r="N668" i="11"/>
  <c r="M668" i="11"/>
  <c r="L668" i="11"/>
  <c r="K668" i="11"/>
  <c r="J668" i="11"/>
  <c r="N667" i="11"/>
  <c r="M667" i="11"/>
  <c r="L667" i="11"/>
  <c r="K667" i="11"/>
  <c r="J667" i="11"/>
  <c r="N666" i="11"/>
  <c r="M666" i="11"/>
  <c r="L666" i="11"/>
  <c r="K666" i="11"/>
  <c r="J666" i="11"/>
  <c r="N665" i="11"/>
  <c r="M665" i="11"/>
  <c r="L665" i="11"/>
  <c r="K665" i="11"/>
  <c r="J665" i="11"/>
  <c r="N664" i="11"/>
  <c r="M664" i="11"/>
  <c r="L664" i="11"/>
  <c r="K664" i="11"/>
  <c r="J664" i="11"/>
  <c r="N663" i="11"/>
  <c r="M663" i="11"/>
  <c r="L663" i="11"/>
  <c r="K663" i="11"/>
  <c r="J663" i="11"/>
  <c r="N662" i="11"/>
  <c r="M662" i="11"/>
  <c r="L662" i="11"/>
  <c r="K662" i="11"/>
  <c r="J662" i="11"/>
  <c r="N661" i="11"/>
  <c r="M661" i="11"/>
  <c r="L661" i="11"/>
  <c r="K661" i="11"/>
  <c r="J661" i="11"/>
  <c r="N660" i="11"/>
  <c r="M660" i="11"/>
  <c r="L660" i="11"/>
  <c r="K660" i="11"/>
  <c r="J660" i="11"/>
  <c r="N659" i="11"/>
  <c r="M659" i="11"/>
  <c r="L659" i="11"/>
  <c r="K659" i="11"/>
  <c r="J659" i="11"/>
  <c r="N658" i="11"/>
  <c r="M658" i="11"/>
  <c r="L658" i="11"/>
  <c r="K658" i="11"/>
  <c r="J658" i="11"/>
  <c r="N657" i="11"/>
  <c r="M657" i="11"/>
  <c r="L657" i="11"/>
  <c r="K657" i="11"/>
  <c r="J657" i="11"/>
  <c r="N656" i="11"/>
  <c r="M656" i="11"/>
  <c r="L656" i="11"/>
  <c r="K656" i="11"/>
  <c r="J656" i="11"/>
  <c r="N655" i="11"/>
  <c r="M655" i="11"/>
  <c r="L655" i="11"/>
  <c r="K655" i="11"/>
  <c r="J655" i="11"/>
  <c r="N654" i="11"/>
  <c r="M654" i="11"/>
  <c r="L654" i="11"/>
  <c r="K654" i="11"/>
  <c r="J654" i="11"/>
  <c r="N653" i="11"/>
  <c r="M653" i="11"/>
  <c r="L653" i="11"/>
  <c r="K653" i="11"/>
  <c r="J653" i="11"/>
  <c r="N652" i="11"/>
  <c r="M652" i="11"/>
  <c r="L652" i="11"/>
  <c r="K652" i="11"/>
  <c r="J652" i="11"/>
  <c r="N651" i="11"/>
  <c r="M651" i="11"/>
  <c r="L651" i="11"/>
  <c r="K651" i="11"/>
  <c r="J651" i="11"/>
  <c r="N650" i="11"/>
  <c r="M650" i="11"/>
  <c r="L650" i="11"/>
  <c r="K650" i="11"/>
  <c r="J650" i="11"/>
  <c r="N649" i="11"/>
  <c r="M649" i="11"/>
  <c r="L649" i="11"/>
  <c r="K649" i="11"/>
  <c r="J649" i="11"/>
  <c r="N648" i="11"/>
  <c r="M648" i="11"/>
  <c r="L648" i="11"/>
  <c r="K648" i="11"/>
  <c r="J648" i="11"/>
  <c r="N647" i="11"/>
  <c r="M647" i="11"/>
  <c r="L647" i="11"/>
  <c r="K647" i="11"/>
  <c r="J647" i="11"/>
  <c r="N646" i="11"/>
  <c r="M646" i="11"/>
  <c r="L646" i="11"/>
  <c r="K646" i="11"/>
  <c r="J646" i="11"/>
  <c r="N645" i="11"/>
  <c r="M645" i="11"/>
  <c r="L645" i="11"/>
  <c r="K645" i="11"/>
  <c r="J645" i="11"/>
  <c r="N644" i="11"/>
  <c r="M644" i="11"/>
  <c r="L644" i="11"/>
  <c r="K644" i="11"/>
  <c r="J644" i="11"/>
  <c r="N643" i="11"/>
  <c r="M643" i="11"/>
  <c r="L643" i="11"/>
  <c r="K643" i="11"/>
  <c r="J643" i="11"/>
  <c r="N642" i="11"/>
  <c r="M642" i="11"/>
  <c r="L642" i="11"/>
  <c r="K642" i="11"/>
  <c r="J642" i="11"/>
  <c r="N641" i="11"/>
  <c r="M641" i="11"/>
  <c r="L641" i="11"/>
  <c r="K641" i="11"/>
  <c r="J641" i="11"/>
  <c r="N640" i="11"/>
  <c r="M640" i="11"/>
  <c r="L640" i="11"/>
  <c r="K640" i="11"/>
  <c r="J640" i="11"/>
  <c r="N639" i="11"/>
  <c r="M639" i="11"/>
  <c r="L639" i="11"/>
  <c r="K639" i="11"/>
  <c r="J639" i="11"/>
  <c r="N638" i="11"/>
  <c r="M638" i="11"/>
  <c r="L638" i="11"/>
  <c r="K638" i="11"/>
  <c r="J638" i="11"/>
  <c r="N637" i="11"/>
  <c r="M637" i="11"/>
  <c r="L637" i="11"/>
  <c r="K637" i="11"/>
  <c r="J637" i="11"/>
  <c r="N636" i="11"/>
  <c r="M636" i="11"/>
  <c r="L636" i="11"/>
  <c r="K636" i="11"/>
  <c r="J636" i="11"/>
  <c r="N635" i="11"/>
  <c r="M635" i="11"/>
  <c r="L635" i="11"/>
  <c r="K635" i="11"/>
  <c r="J635" i="11"/>
  <c r="N634" i="11"/>
  <c r="M634" i="11"/>
  <c r="L634" i="11"/>
  <c r="K634" i="11"/>
  <c r="J634" i="11"/>
  <c r="N633" i="11"/>
  <c r="M633" i="11"/>
  <c r="L633" i="11"/>
  <c r="K633" i="11"/>
  <c r="J633" i="11"/>
  <c r="N632" i="11"/>
  <c r="M632" i="11"/>
  <c r="L632" i="11"/>
  <c r="K632" i="11"/>
  <c r="J632" i="11"/>
  <c r="N631" i="11"/>
  <c r="M631" i="11"/>
  <c r="L631" i="11"/>
  <c r="K631" i="11"/>
  <c r="J631" i="11"/>
  <c r="N630" i="11"/>
  <c r="M630" i="11"/>
  <c r="L630" i="11"/>
  <c r="K630" i="11"/>
  <c r="J630" i="11"/>
  <c r="N629" i="11"/>
  <c r="M629" i="11"/>
  <c r="L629" i="11"/>
  <c r="K629" i="11"/>
  <c r="J629" i="11"/>
  <c r="N628" i="11"/>
  <c r="M628" i="11"/>
  <c r="L628" i="11"/>
  <c r="K628" i="11"/>
  <c r="J628" i="11"/>
  <c r="N627" i="11"/>
  <c r="M627" i="11"/>
  <c r="L627" i="11"/>
  <c r="K627" i="11"/>
  <c r="J627" i="11"/>
  <c r="N626" i="11"/>
  <c r="M626" i="11"/>
  <c r="L626" i="11"/>
  <c r="K626" i="11"/>
  <c r="J626" i="11"/>
  <c r="N625" i="11"/>
  <c r="M625" i="11"/>
  <c r="L625" i="11"/>
  <c r="K625" i="11"/>
  <c r="J625" i="11"/>
  <c r="N624" i="11"/>
  <c r="M624" i="11"/>
  <c r="L624" i="11"/>
  <c r="K624" i="11"/>
  <c r="J624" i="11"/>
  <c r="N623" i="11"/>
  <c r="M623" i="11"/>
  <c r="L623" i="11"/>
  <c r="K623" i="11"/>
  <c r="J623" i="11"/>
  <c r="N622" i="11"/>
  <c r="M622" i="11"/>
  <c r="L622" i="11"/>
  <c r="K622" i="11"/>
  <c r="J622" i="11"/>
  <c r="N621" i="11"/>
  <c r="M621" i="11"/>
  <c r="L621" i="11"/>
  <c r="K621" i="11"/>
  <c r="J621" i="11"/>
  <c r="N620" i="11"/>
  <c r="M620" i="11"/>
  <c r="L620" i="11"/>
  <c r="K620" i="11"/>
  <c r="J620" i="11"/>
  <c r="N619" i="11"/>
  <c r="M619" i="11"/>
  <c r="L619" i="11"/>
  <c r="K619" i="11"/>
  <c r="J619" i="11"/>
  <c r="N618" i="11"/>
  <c r="M618" i="11"/>
  <c r="L618" i="11"/>
  <c r="K618" i="11"/>
  <c r="J618" i="11"/>
  <c r="N617" i="11"/>
  <c r="M617" i="11"/>
  <c r="L617" i="11"/>
  <c r="K617" i="11"/>
  <c r="J617" i="11"/>
  <c r="N616" i="11"/>
  <c r="M616" i="11"/>
  <c r="L616" i="11"/>
  <c r="K616" i="11"/>
  <c r="J616" i="11"/>
  <c r="N615" i="11"/>
  <c r="M615" i="11"/>
  <c r="L615" i="11"/>
  <c r="K615" i="11"/>
  <c r="J615" i="11"/>
  <c r="N614" i="11"/>
  <c r="M614" i="11"/>
  <c r="L614" i="11"/>
  <c r="K614" i="11"/>
  <c r="J614" i="11"/>
  <c r="N613" i="11"/>
  <c r="M613" i="11"/>
  <c r="L613" i="11"/>
  <c r="K613" i="11"/>
  <c r="J613" i="11"/>
  <c r="N612" i="11"/>
  <c r="M612" i="11"/>
  <c r="L612" i="11"/>
  <c r="K612" i="11"/>
  <c r="J612" i="11"/>
  <c r="N611" i="11"/>
  <c r="M611" i="11"/>
  <c r="L611" i="11"/>
  <c r="K611" i="11"/>
  <c r="J611" i="11"/>
  <c r="N610" i="11"/>
  <c r="M610" i="11"/>
  <c r="L610" i="11"/>
  <c r="K610" i="11"/>
  <c r="J610" i="11"/>
  <c r="N609" i="11"/>
  <c r="M609" i="11"/>
  <c r="L609" i="11"/>
  <c r="K609" i="11"/>
  <c r="J609" i="11"/>
  <c r="N608" i="11"/>
  <c r="M608" i="11"/>
  <c r="L608" i="11"/>
  <c r="K608" i="11"/>
  <c r="J608" i="11"/>
  <c r="N607" i="11"/>
  <c r="M607" i="11"/>
  <c r="L607" i="11"/>
  <c r="K607" i="11"/>
  <c r="J607" i="11"/>
  <c r="N606" i="11"/>
  <c r="M606" i="11"/>
  <c r="L606" i="11"/>
  <c r="K606" i="11"/>
  <c r="J606" i="11"/>
  <c r="N605" i="11"/>
  <c r="M605" i="11"/>
  <c r="L605" i="11"/>
  <c r="K605" i="11"/>
  <c r="J605" i="11"/>
  <c r="N604" i="11"/>
  <c r="M604" i="11"/>
  <c r="L604" i="11"/>
  <c r="K604" i="11"/>
  <c r="J604" i="11"/>
  <c r="N603" i="11"/>
  <c r="M603" i="11"/>
  <c r="L603" i="11"/>
  <c r="K603" i="11"/>
  <c r="J603" i="11"/>
  <c r="N602" i="11"/>
  <c r="M602" i="11"/>
  <c r="L602" i="11"/>
  <c r="K602" i="11"/>
  <c r="J602" i="11"/>
  <c r="N601" i="11"/>
  <c r="M601" i="11"/>
  <c r="L601" i="11"/>
  <c r="K601" i="11"/>
  <c r="J601" i="11"/>
  <c r="N600" i="11"/>
  <c r="M600" i="11"/>
  <c r="L600" i="11"/>
  <c r="K600" i="11"/>
  <c r="J600" i="11"/>
  <c r="N599" i="11"/>
  <c r="M599" i="11"/>
  <c r="L599" i="11"/>
  <c r="K599" i="11"/>
  <c r="J599" i="11"/>
  <c r="N598" i="11"/>
  <c r="M598" i="11"/>
  <c r="L598" i="11"/>
  <c r="K598" i="11"/>
  <c r="J598" i="11"/>
  <c r="N597" i="11"/>
  <c r="M597" i="11"/>
  <c r="L597" i="11"/>
  <c r="K597" i="11"/>
  <c r="J597" i="11"/>
  <c r="N596" i="11"/>
  <c r="M596" i="11"/>
  <c r="L596" i="11"/>
  <c r="K596" i="11"/>
  <c r="J596" i="11"/>
  <c r="N595" i="11"/>
  <c r="M595" i="11"/>
  <c r="L595" i="11"/>
  <c r="K595" i="11"/>
  <c r="J595" i="11"/>
  <c r="N594" i="11"/>
  <c r="M594" i="11"/>
  <c r="L594" i="11"/>
  <c r="K594" i="11"/>
  <c r="J594" i="11"/>
  <c r="N593" i="11"/>
  <c r="M593" i="11"/>
  <c r="L593" i="11"/>
  <c r="K593" i="11"/>
  <c r="J593" i="11"/>
  <c r="N592" i="11"/>
  <c r="M592" i="11"/>
  <c r="L592" i="11"/>
  <c r="K592" i="11"/>
  <c r="J592" i="11"/>
  <c r="N591" i="11"/>
  <c r="M591" i="11"/>
  <c r="L591" i="11"/>
  <c r="K591" i="11"/>
  <c r="J591" i="11"/>
  <c r="N590" i="11"/>
  <c r="M590" i="11"/>
  <c r="L590" i="11"/>
  <c r="K590" i="11"/>
  <c r="J590" i="11"/>
  <c r="N589" i="11"/>
  <c r="M589" i="11"/>
  <c r="L589" i="11"/>
  <c r="K589" i="11"/>
  <c r="J589" i="11"/>
  <c r="N588" i="11"/>
  <c r="M588" i="11"/>
  <c r="L588" i="11"/>
  <c r="K588" i="11"/>
  <c r="J588" i="11"/>
  <c r="N587" i="11"/>
  <c r="M587" i="11"/>
  <c r="L587" i="11"/>
  <c r="K587" i="11"/>
  <c r="J587" i="11"/>
  <c r="N586" i="11"/>
  <c r="M586" i="11"/>
  <c r="L586" i="11"/>
  <c r="K586" i="11"/>
  <c r="J586" i="11"/>
  <c r="N585" i="11"/>
  <c r="M585" i="11"/>
  <c r="L585" i="11"/>
  <c r="K585" i="11"/>
  <c r="J585" i="11"/>
  <c r="N584" i="11"/>
  <c r="M584" i="11"/>
  <c r="L584" i="11"/>
  <c r="K584" i="11"/>
  <c r="J584" i="11"/>
  <c r="N583" i="11"/>
  <c r="M583" i="11"/>
  <c r="L583" i="11"/>
  <c r="K583" i="11"/>
  <c r="J583" i="11"/>
  <c r="N582" i="11"/>
  <c r="M582" i="11"/>
  <c r="L582" i="11"/>
  <c r="K582" i="11"/>
  <c r="J582" i="11"/>
  <c r="N581" i="11"/>
  <c r="M581" i="11"/>
  <c r="L581" i="11"/>
  <c r="K581" i="11"/>
  <c r="J581" i="11"/>
  <c r="N580" i="11"/>
  <c r="M580" i="11"/>
  <c r="L580" i="11"/>
  <c r="K580" i="11"/>
  <c r="J580" i="11"/>
  <c r="N579" i="11"/>
  <c r="M579" i="11"/>
  <c r="L579" i="11"/>
  <c r="K579" i="11"/>
  <c r="J579" i="11"/>
  <c r="N578" i="11"/>
  <c r="M578" i="11"/>
  <c r="L578" i="11"/>
  <c r="K578" i="11"/>
  <c r="J578" i="11"/>
  <c r="N577" i="11"/>
  <c r="M577" i="11"/>
  <c r="L577" i="11"/>
  <c r="K577" i="11"/>
  <c r="J577" i="11"/>
  <c r="N576" i="11"/>
  <c r="M576" i="11"/>
  <c r="L576" i="11"/>
  <c r="K576" i="11"/>
  <c r="J576" i="11"/>
  <c r="N575" i="11"/>
  <c r="M575" i="11"/>
  <c r="L575" i="11"/>
  <c r="K575" i="11"/>
  <c r="J575" i="11"/>
  <c r="N574" i="11"/>
  <c r="M574" i="11"/>
  <c r="L574" i="11"/>
  <c r="K574" i="11"/>
  <c r="J574" i="11"/>
  <c r="N573" i="11"/>
  <c r="M573" i="11"/>
  <c r="L573" i="11"/>
  <c r="K573" i="11"/>
  <c r="J573" i="11"/>
  <c r="N572" i="11"/>
  <c r="M572" i="11"/>
  <c r="L572" i="11"/>
  <c r="K572" i="11"/>
  <c r="J572" i="11"/>
  <c r="N571" i="11"/>
  <c r="M571" i="11"/>
  <c r="L571" i="11"/>
  <c r="K571" i="11"/>
  <c r="J571" i="11"/>
  <c r="N570" i="11"/>
  <c r="M570" i="11"/>
  <c r="L570" i="11"/>
  <c r="K570" i="11"/>
  <c r="J570" i="11"/>
  <c r="N569" i="11"/>
  <c r="M569" i="11"/>
  <c r="L569" i="11"/>
  <c r="K569" i="11"/>
  <c r="J569" i="11"/>
  <c r="N568" i="11"/>
  <c r="M568" i="11"/>
  <c r="L568" i="11"/>
  <c r="K568" i="11"/>
  <c r="J568" i="11"/>
  <c r="N567" i="11"/>
  <c r="M567" i="11"/>
  <c r="L567" i="11"/>
  <c r="K567" i="11"/>
  <c r="J567" i="11"/>
  <c r="N566" i="11"/>
  <c r="M566" i="11"/>
  <c r="L566" i="11"/>
  <c r="K566" i="11"/>
  <c r="J566" i="11"/>
  <c r="N565" i="11"/>
  <c r="M565" i="11"/>
  <c r="L565" i="11"/>
  <c r="K565" i="11"/>
  <c r="J565" i="11"/>
  <c r="N564" i="11"/>
  <c r="M564" i="11"/>
  <c r="L564" i="11"/>
  <c r="K564" i="11"/>
  <c r="J564" i="11"/>
  <c r="N563" i="11"/>
  <c r="M563" i="11"/>
  <c r="L563" i="11"/>
  <c r="K563" i="11"/>
  <c r="J563" i="11"/>
  <c r="N562" i="11"/>
  <c r="M562" i="11"/>
  <c r="L562" i="11"/>
  <c r="K562" i="11"/>
  <c r="J562" i="11"/>
  <c r="N561" i="11"/>
  <c r="M561" i="11"/>
  <c r="L561" i="11"/>
  <c r="K561" i="11"/>
  <c r="J561" i="11"/>
  <c r="N560" i="11"/>
  <c r="M560" i="11"/>
  <c r="L560" i="11"/>
  <c r="K560" i="11"/>
  <c r="J560" i="11"/>
  <c r="N559" i="11"/>
  <c r="M559" i="11"/>
  <c r="L559" i="11"/>
  <c r="K559" i="11"/>
  <c r="J559" i="11"/>
  <c r="N558" i="11"/>
  <c r="M558" i="11"/>
  <c r="L558" i="11"/>
  <c r="K558" i="11"/>
  <c r="J558" i="11"/>
  <c r="N557" i="11"/>
  <c r="M557" i="11"/>
  <c r="L557" i="11"/>
  <c r="K557" i="11"/>
  <c r="J557" i="11"/>
  <c r="N556" i="11"/>
  <c r="M556" i="11"/>
  <c r="L556" i="11"/>
  <c r="K556" i="11"/>
  <c r="J556" i="11"/>
  <c r="N555" i="11"/>
  <c r="M555" i="11"/>
  <c r="L555" i="11"/>
  <c r="K555" i="11"/>
  <c r="J555" i="11"/>
  <c r="N554" i="11"/>
  <c r="M554" i="11"/>
  <c r="L554" i="11"/>
  <c r="K554" i="11"/>
  <c r="J554" i="11"/>
  <c r="N553" i="11"/>
  <c r="M553" i="11"/>
  <c r="L553" i="11"/>
  <c r="K553" i="11"/>
  <c r="J553" i="11"/>
  <c r="N552" i="11"/>
  <c r="M552" i="11"/>
  <c r="L552" i="11"/>
  <c r="K552" i="11"/>
  <c r="J552" i="11"/>
  <c r="N551" i="11"/>
  <c r="M551" i="11"/>
  <c r="L551" i="11"/>
  <c r="K551" i="11"/>
  <c r="J551" i="11"/>
  <c r="N550" i="11"/>
  <c r="M550" i="11"/>
  <c r="L550" i="11"/>
  <c r="K550" i="11"/>
  <c r="J550" i="11"/>
  <c r="N549" i="11"/>
  <c r="M549" i="11"/>
  <c r="L549" i="11"/>
  <c r="K549" i="11"/>
  <c r="J549" i="11"/>
  <c r="N548" i="11"/>
  <c r="M548" i="11"/>
  <c r="L548" i="11"/>
  <c r="K548" i="11"/>
  <c r="J548" i="11"/>
  <c r="N547" i="11"/>
  <c r="M547" i="11"/>
  <c r="L547" i="11"/>
  <c r="K547" i="11"/>
  <c r="J547" i="11"/>
  <c r="N546" i="11"/>
  <c r="M546" i="11"/>
  <c r="L546" i="11"/>
  <c r="K546" i="11"/>
  <c r="J546" i="11"/>
  <c r="N545" i="11"/>
  <c r="M545" i="11"/>
  <c r="L545" i="11"/>
  <c r="K545" i="11"/>
  <c r="J545" i="11"/>
  <c r="N544" i="11"/>
  <c r="M544" i="11"/>
  <c r="L544" i="11"/>
  <c r="K544" i="11"/>
  <c r="J544" i="11"/>
  <c r="N543" i="11"/>
  <c r="M543" i="11"/>
  <c r="L543" i="11"/>
  <c r="K543" i="11"/>
  <c r="J543" i="11"/>
  <c r="N542" i="11"/>
  <c r="M542" i="11"/>
  <c r="L542" i="11"/>
  <c r="K542" i="11"/>
  <c r="J542" i="11"/>
  <c r="N541" i="11"/>
  <c r="M541" i="11"/>
  <c r="L541" i="11"/>
  <c r="K541" i="11"/>
  <c r="J541" i="11"/>
  <c r="N540" i="11"/>
  <c r="M540" i="11"/>
  <c r="L540" i="11"/>
  <c r="K540" i="11"/>
  <c r="J540" i="11"/>
  <c r="N539" i="11"/>
  <c r="M539" i="11"/>
  <c r="L539" i="11"/>
  <c r="K539" i="11"/>
  <c r="J539" i="11"/>
  <c r="N538" i="11"/>
  <c r="M538" i="11"/>
  <c r="L538" i="11"/>
  <c r="K538" i="11"/>
  <c r="J538" i="11"/>
  <c r="N537" i="11"/>
  <c r="M537" i="11"/>
  <c r="L537" i="11"/>
  <c r="K537" i="11"/>
  <c r="J537" i="11"/>
  <c r="N536" i="11"/>
  <c r="M536" i="11"/>
  <c r="L536" i="11"/>
  <c r="K536" i="11"/>
  <c r="J536" i="11"/>
  <c r="N535" i="11"/>
  <c r="M535" i="11"/>
  <c r="L535" i="11"/>
  <c r="K535" i="11"/>
  <c r="J535" i="11"/>
  <c r="N534" i="11"/>
  <c r="M534" i="11"/>
  <c r="L534" i="11"/>
  <c r="K534" i="11"/>
  <c r="J534" i="11"/>
  <c r="N533" i="11"/>
  <c r="M533" i="11"/>
  <c r="L533" i="11"/>
  <c r="K533" i="11"/>
  <c r="J533" i="11"/>
  <c r="N532" i="11"/>
  <c r="M532" i="11"/>
  <c r="L532" i="11"/>
  <c r="K532" i="11"/>
  <c r="J532" i="11"/>
  <c r="N531" i="11"/>
  <c r="M531" i="11"/>
  <c r="L531" i="11"/>
  <c r="K531" i="11"/>
  <c r="J531" i="11"/>
  <c r="N530" i="11"/>
  <c r="M530" i="11"/>
  <c r="L530" i="11"/>
  <c r="K530" i="11"/>
  <c r="J530" i="11"/>
  <c r="N529" i="11"/>
  <c r="M529" i="11"/>
  <c r="L529" i="11"/>
  <c r="K529" i="11"/>
  <c r="J529" i="11"/>
  <c r="N528" i="11"/>
  <c r="M528" i="11"/>
  <c r="L528" i="11"/>
  <c r="K528" i="11"/>
  <c r="J528" i="11"/>
  <c r="N527" i="11"/>
  <c r="M527" i="11"/>
  <c r="L527" i="11"/>
  <c r="K527" i="11"/>
  <c r="J527" i="11"/>
  <c r="N526" i="11"/>
  <c r="M526" i="11"/>
  <c r="L526" i="11"/>
  <c r="K526" i="11"/>
  <c r="J526" i="11"/>
  <c r="N525" i="11"/>
  <c r="M525" i="11"/>
  <c r="L525" i="11"/>
  <c r="K525" i="11"/>
  <c r="J525" i="11"/>
  <c r="N524" i="11"/>
  <c r="M524" i="11"/>
  <c r="L524" i="11"/>
  <c r="K524" i="11"/>
  <c r="J524" i="11"/>
  <c r="N523" i="11"/>
  <c r="M523" i="11"/>
  <c r="L523" i="11"/>
  <c r="K523" i="11"/>
  <c r="J523" i="11"/>
  <c r="N522" i="11"/>
  <c r="M522" i="11"/>
  <c r="L522" i="11"/>
  <c r="K522" i="11"/>
  <c r="J522" i="11"/>
  <c r="N521" i="11"/>
  <c r="M521" i="11"/>
  <c r="L521" i="11"/>
  <c r="K521" i="11"/>
  <c r="J521" i="11"/>
  <c r="N520" i="11"/>
  <c r="M520" i="11"/>
  <c r="L520" i="11"/>
  <c r="K520" i="11"/>
  <c r="J520" i="11"/>
  <c r="N519" i="11"/>
  <c r="M519" i="11"/>
  <c r="L519" i="11"/>
  <c r="K519" i="11"/>
  <c r="J519" i="11"/>
  <c r="N518" i="11"/>
  <c r="M518" i="11"/>
  <c r="L518" i="11"/>
  <c r="K518" i="11"/>
  <c r="J518" i="11"/>
  <c r="N517" i="11"/>
  <c r="M517" i="11"/>
  <c r="L517" i="11"/>
  <c r="K517" i="11"/>
  <c r="J517" i="11"/>
  <c r="N516" i="11"/>
  <c r="M516" i="11"/>
  <c r="L516" i="11"/>
  <c r="K516" i="11"/>
  <c r="J516" i="11"/>
  <c r="N515" i="11"/>
  <c r="M515" i="11"/>
  <c r="L515" i="11"/>
  <c r="K515" i="11"/>
  <c r="J515" i="11"/>
  <c r="N514" i="11"/>
  <c r="M514" i="11"/>
  <c r="L514" i="11"/>
  <c r="K514" i="11"/>
  <c r="J514" i="11"/>
  <c r="N513" i="11"/>
  <c r="M513" i="11"/>
  <c r="L513" i="11"/>
  <c r="K513" i="11"/>
  <c r="J513" i="11"/>
  <c r="N512" i="11"/>
  <c r="M512" i="11"/>
  <c r="L512" i="11"/>
  <c r="K512" i="11"/>
  <c r="J512" i="11"/>
  <c r="N511" i="11"/>
  <c r="M511" i="11"/>
  <c r="L511" i="11"/>
  <c r="K511" i="11"/>
  <c r="J511" i="11"/>
  <c r="N510" i="11"/>
  <c r="M510" i="11"/>
  <c r="L510" i="11"/>
  <c r="K510" i="11"/>
  <c r="J510" i="11"/>
  <c r="N509" i="11"/>
  <c r="M509" i="11"/>
  <c r="L509" i="11"/>
  <c r="K509" i="11"/>
  <c r="J509" i="11"/>
  <c r="N508" i="11"/>
  <c r="M508" i="11"/>
  <c r="L508" i="11"/>
  <c r="K508" i="11"/>
  <c r="J508" i="11"/>
  <c r="N507" i="11"/>
  <c r="M507" i="11"/>
  <c r="L507" i="11"/>
  <c r="K507" i="11"/>
  <c r="J507" i="11"/>
  <c r="N506" i="11"/>
  <c r="M506" i="11"/>
  <c r="L506" i="11"/>
  <c r="K506" i="11"/>
  <c r="J506" i="11"/>
  <c r="N505" i="11"/>
  <c r="M505" i="11"/>
  <c r="L505" i="11"/>
  <c r="K505" i="11"/>
  <c r="J505" i="11"/>
  <c r="N504" i="11"/>
  <c r="M504" i="11"/>
  <c r="L504" i="11"/>
  <c r="K504" i="11"/>
  <c r="J504" i="11"/>
  <c r="N503" i="11"/>
  <c r="M503" i="11"/>
  <c r="L503" i="11"/>
  <c r="K503" i="11"/>
  <c r="J503" i="11"/>
  <c r="N502" i="11"/>
  <c r="M502" i="11"/>
  <c r="L502" i="11"/>
  <c r="K502" i="11"/>
  <c r="J502" i="11"/>
  <c r="N501" i="11"/>
  <c r="M501" i="11"/>
  <c r="L501" i="11"/>
  <c r="K501" i="11"/>
  <c r="J501" i="11"/>
  <c r="N500" i="11"/>
  <c r="M500" i="11"/>
  <c r="L500" i="11"/>
  <c r="K500" i="11"/>
  <c r="J500" i="11"/>
  <c r="N499" i="11"/>
  <c r="M499" i="11"/>
  <c r="L499" i="11"/>
  <c r="K499" i="11"/>
  <c r="J499" i="11"/>
  <c r="N498" i="11"/>
  <c r="M498" i="11"/>
  <c r="L498" i="11"/>
  <c r="K498" i="11"/>
  <c r="J498" i="11"/>
  <c r="N497" i="11"/>
  <c r="M497" i="11"/>
  <c r="L497" i="11"/>
  <c r="K497" i="11"/>
  <c r="J497" i="11"/>
  <c r="N496" i="11"/>
  <c r="M496" i="11"/>
  <c r="L496" i="11"/>
  <c r="K496" i="11"/>
  <c r="J496" i="11"/>
  <c r="N495" i="11"/>
  <c r="M495" i="11"/>
  <c r="L495" i="11"/>
  <c r="K495" i="11"/>
  <c r="J495" i="11"/>
  <c r="N494" i="11"/>
  <c r="M494" i="11"/>
  <c r="L494" i="11"/>
  <c r="K494" i="11"/>
  <c r="J494" i="11"/>
  <c r="N493" i="11"/>
  <c r="M493" i="11"/>
  <c r="L493" i="11"/>
  <c r="K493" i="11"/>
  <c r="J493" i="11"/>
  <c r="N492" i="11"/>
  <c r="M492" i="11"/>
  <c r="L492" i="11"/>
  <c r="K492" i="11"/>
  <c r="J492" i="11"/>
  <c r="N491" i="11"/>
  <c r="M491" i="11"/>
  <c r="L491" i="11"/>
  <c r="K491" i="11"/>
  <c r="J491" i="11"/>
  <c r="N490" i="11"/>
  <c r="M490" i="11"/>
  <c r="L490" i="11"/>
  <c r="K490" i="11"/>
  <c r="J490" i="11"/>
  <c r="N489" i="11"/>
  <c r="M489" i="11"/>
  <c r="L489" i="11"/>
  <c r="K489" i="11"/>
  <c r="J489" i="11"/>
  <c r="N488" i="11"/>
  <c r="M488" i="11"/>
  <c r="L488" i="11"/>
  <c r="K488" i="11"/>
  <c r="J488" i="11"/>
  <c r="N487" i="11"/>
  <c r="M487" i="11"/>
  <c r="L487" i="11"/>
  <c r="K487" i="11"/>
  <c r="J487" i="11"/>
  <c r="N486" i="11"/>
  <c r="M486" i="11"/>
  <c r="L486" i="11"/>
  <c r="K486" i="11"/>
  <c r="J486" i="11"/>
  <c r="N485" i="11"/>
  <c r="M485" i="11"/>
  <c r="L485" i="11"/>
  <c r="K485" i="11"/>
  <c r="J485" i="11"/>
  <c r="N484" i="11"/>
  <c r="M484" i="11"/>
  <c r="L484" i="11"/>
  <c r="K484" i="11"/>
  <c r="J484" i="11"/>
  <c r="N483" i="11"/>
  <c r="M483" i="11"/>
  <c r="L483" i="11"/>
  <c r="K483" i="11"/>
  <c r="J483" i="11"/>
  <c r="N482" i="11"/>
  <c r="M482" i="11"/>
  <c r="L482" i="11"/>
  <c r="K482" i="11"/>
  <c r="J482" i="11"/>
  <c r="N481" i="11"/>
  <c r="M481" i="11"/>
  <c r="L481" i="11"/>
  <c r="K481" i="11"/>
  <c r="J481" i="11"/>
  <c r="N480" i="11"/>
  <c r="M480" i="11"/>
  <c r="L480" i="11"/>
  <c r="K480" i="11"/>
  <c r="J480" i="11"/>
  <c r="N479" i="11"/>
  <c r="M479" i="11"/>
  <c r="L479" i="11"/>
  <c r="K479" i="11"/>
  <c r="J479" i="11"/>
  <c r="N478" i="11"/>
  <c r="M478" i="11"/>
  <c r="L478" i="11"/>
  <c r="K478" i="11"/>
  <c r="J478" i="11"/>
  <c r="N477" i="11"/>
  <c r="M477" i="11"/>
  <c r="L477" i="11"/>
  <c r="K477" i="11"/>
  <c r="J477" i="11"/>
  <c r="N476" i="11"/>
  <c r="M476" i="11"/>
  <c r="L476" i="11"/>
  <c r="K476" i="11"/>
  <c r="J476" i="11"/>
  <c r="N475" i="11"/>
  <c r="M475" i="11"/>
  <c r="L475" i="11"/>
  <c r="K475" i="11"/>
  <c r="J475" i="11"/>
  <c r="N474" i="11"/>
  <c r="M474" i="11"/>
  <c r="L474" i="11"/>
  <c r="K474" i="11"/>
  <c r="J474" i="11"/>
  <c r="N473" i="11"/>
  <c r="M473" i="11"/>
  <c r="L473" i="11"/>
  <c r="K473" i="11"/>
  <c r="J473" i="11"/>
  <c r="N472" i="11"/>
  <c r="M472" i="11"/>
  <c r="L472" i="11"/>
  <c r="K472" i="11"/>
  <c r="J472" i="11"/>
  <c r="N471" i="11"/>
  <c r="M471" i="11"/>
  <c r="L471" i="11"/>
  <c r="K471" i="11"/>
  <c r="J471" i="11"/>
  <c r="N470" i="11"/>
  <c r="M470" i="11"/>
  <c r="L470" i="11"/>
  <c r="K470" i="11"/>
  <c r="J470" i="11"/>
  <c r="N469" i="11"/>
  <c r="M469" i="11"/>
  <c r="L469" i="11"/>
  <c r="K469" i="11"/>
  <c r="J469" i="11"/>
  <c r="N468" i="11"/>
  <c r="M468" i="11"/>
  <c r="L468" i="11"/>
  <c r="K468" i="11"/>
  <c r="J468" i="11"/>
  <c r="N467" i="11"/>
  <c r="M467" i="11"/>
  <c r="L467" i="11"/>
  <c r="K467" i="11"/>
  <c r="J467" i="11"/>
  <c r="N466" i="11"/>
  <c r="M466" i="11"/>
  <c r="L466" i="11"/>
  <c r="K466" i="11"/>
  <c r="J466" i="11"/>
  <c r="N465" i="11"/>
  <c r="M465" i="11"/>
  <c r="L465" i="11"/>
  <c r="K465" i="11"/>
  <c r="J465" i="11"/>
  <c r="N464" i="11"/>
  <c r="M464" i="11"/>
  <c r="L464" i="11"/>
  <c r="K464" i="11"/>
  <c r="J464" i="11"/>
  <c r="N463" i="11"/>
  <c r="M463" i="11"/>
  <c r="L463" i="11"/>
  <c r="K463" i="11"/>
  <c r="J463" i="11"/>
  <c r="N462" i="11"/>
  <c r="M462" i="11"/>
  <c r="L462" i="11"/>
  <c r="K462" i="11"/>
  <c r="J462" i="11"/>
  <c r="N461" i="11"/>
  <c r="M461" i="11"/>
  <c r="L461" i="11"/>
  <c r="K461" i="11"/>
  <c r="J461" i="11"/>
  <c r="N460" i="11"/>
  <c r="M460" i="11"/>
  <c r="L460" i="11"/>
  <c r="K460" i="11"/>
  <c r="J460" i="11"/>
  <c r="N459" i="11"/>
  <c r="M459" i="11"/>
  <c r="L459" i="11"/>
  <c r="K459" i="11"/>
  <c r="J459" i="11"/>
  <c r="N458" i="11"/>
  <c r="M458" i="11"/>
  <c r="L458" i="11"/>
  <c r="K458" i="11"/>
  <c r="J458" i="11"/>
  <c r="N457" i="11"/>
  <c r="M457" i="11"/>
  <c r="L457" i="11"/>
  <c r="K457" i="11"/>
  <c r="J457" i="11"/>
  <c r="N456" i="11"/>
  <c r="M456" i="11"/>
  <c r="L456" i="11"/>
  <c r="K456" i="11"/>
  <c r="J456" i="11"/>
  <c r="N455" i="11"/>
  <c r="M455" i="11"/>
  <c r="L455" i="11"/>
  <c r="K455" i="11"/>
  <c r="J455" i="11"/>
  <c r="N454" i="11"/>
  <c r="M454" i="11"/>
  <c r="L454" i="11"/>
  <c r="K454" i="11"/>
  <c r="J454" i="11"/>
  <c r="N453" i="11"/>
  <c r="M453" i="11"/>
  <c r="L453" i="11"/>
  <c r="K453" i="11"/>
  <c r="J453" i="11"/>
  <c r="N452" i="11"/>
  <c r="M452" i="11"/>
  <c r="L452" i="11"/>
  <c r="K452" i="11"/>
  <c r="J452" i="11"/>
  <c r="N451" i="11"/>
  <c r="M451" i="11"/>
  <c r="L451" i="11"/>
  <c r="K451" i="11"/>
  <c r="J451" i="11"/>
  <c r="N450" i="11"/>
  <c r="M450" i="11"/>
  <c r="L450" i="11"/>
  <c r="K450" i="11"/>
  <c r="J450" i="11"/>
  <c r="N449" i="11"/>
  <c r="M449" i="11"/>
  <c r="L449" i="11"/>
  <c r="K449" i="11"/>
  <c r="J449" i="11"/>
  <c r="N448" i="11"/>
  <c r="M448" i="11"/>
  <c r="L448" i="11"/>
  <c r="K448" i="11"/>
  <c r="J448" i="11"/>
  <c r="N447" i="11"/>
  <c r="M447" i="11"/>
  <c r="L447" i="11"/>
  <c r="K447" i="11"/>
  <c r="J447" i="11"/>
  <c r="N446" i="11"/>
  <c r="M446" i="11"/>
  <c r="L446" i="11"/>
  <c r="K446" i="11"/>
  <c r="J446" i="11"/>
  <c r="N445" i="11"/>
  <c r="M445" i="11"/>
  <c r="L445" i="11"/>
  <c r="K445" i="11"/>
  <c r="J445" i="11"/>
  <c r="N444" i="11"/>
  <c r="M444" i="11"/>
  <c r="L444" i="11"/>
  <c r="K444" i="11"/>
  <c r="J444" i="11"/>
  <c r="N443" i="11"/>
  <c r="M443" i="11"/>
  <c r="L443" i="11"/>
  <c r="K443" i="11"/>
  <c r="J443" i="11"/>
  <c r="N442" i="11"/>
  <c r="M442" i="11"/>
  <c r="L442" i="11"/>
  <c r="K442" i="11"/>
  <c r="J442" i="11"/>
  <c r="N441" i="11"/>
  <c r="M441" i="11"/>
  <c r="L441" i="11"/>
  <c r="K441" i="11"/>
  <c r="J441" i="11"/>
  <c r="N440" i="11"/>
  <c r="M440" i="11"/>
  <c r="L440" i="11"/>
  <c r="K440" i="11"/>
  <c r="J440" i="11"/>
  <c r="N439" i="11"/>
  <c r="M439" i="11"/>
  <c r="L439" i="11"/>
  <c r="K439" i="11"/>
  <c r="J439" i="11"/>
  <c r="N438" i="11"/>
  <c r="M438" i="11"/>
  <c r="L438" i="11"/>
  <c r="K438" i="11"/>
  <c r="J438" i="11"/>
  <c r="N437" i="11"/>
  <c r="M437" i="11"/>
  <c r="L437" i="11"/>
  <c r="K437" i="11"/>
  <c r="J437" i="11"/>
  <c r="N436" i="11"/>
  <c r="M436" i="11"/>
  <c r="L436" i="11"/>
  <c r="K436" i="11"/>
  <c r="J436" i="11"/>
  <c r="N435" i="11"/>
  <c r="M435" i="11"/>
  <c r="L435" i="11"/>
  <c r="K435" i="11"/>
  <c r="J435" i="11"/>
  <c r="N434" i="11"/>
  <c r="M434" i="11"/>
  <c r="L434" i="11"/>
  <c r="K434" i="11"/>
  <c r="J434" i="11"/>
  <c r="N433" i="11"/>
  <c r="M433" i="11"/>
  <c r="L433" i="11"/>
  <c r="K433" i="11"/>
  <c r="J433" i="11"/>
  <c r="N432" i="11"/>
  <c r="M432" i="11"/>
  <c r="L432" i="11"/>
  <c r="K432" i="11"/>
  <c r="J432" i="11"/>
  <c r="N431" i="11"/>
  <c r="M431" i="11"/>
  <c r="L431" i="11"/>
  <c r="K431" i="11"/>
  <c r="J431" i="11"/>
  <c r="N430" i="11"/>
  <c r="M430" i="11"/>
  <c r="L430" i="11"/>
  <c r="K430" i="11"/>
  <c r="J430" i="11"/>
  <c r="N429" i="11"/>
  <c r="M429" i="11"/>
  <c r="L429" i="11"/>
  <c r="K429" i="11"/>
  <c r="J429" i="11"/>
  <c r="N428" i="11"/>
  <c r="M428" i="11"/>
  <c r="L428" i="11"/>
  <c r="K428" i="11"/>
  <c r="J428" i="11"/>
  <c r="N427" i="11"/>
  <c r="M427" i="11"/>
  <c r="L427" i="11"/>
  <c r="K427" i="11"/>
  <c r="J427" i="11"/>
  <c r="N426" i="11"/>
  <c r="M426" i="11"/>
  <c r="L426" i="11"/>
  <c r="K426" i="11"/>
  <c r="J426" i="11"/>
  <c r="N425" i="11"/>
  <c r="M425" i="11"/>
  <c r="L425" i="11"/>
  <c r="K425" i="11"/>
  <c r="J425" i="11"/>
  <c r="N424" i="11"/>
  <c r="M424" i="11"/>
  <c r="L424" i="11"/>
  <c r="K424" i="11"/>
  <c r="J424" i="11"/>
  <c r="N423" i="11"/>
  <c r="M423" i="11"/>
  <c r="L423" i="11"/>
  <c r="K423" i="11"/>
  <c r="J423" i="11"/>
  <c r="N422" i="11"/>
  <c r="M422" i="11"/>
  <c r="L422" i="11"/>
  <c r="K422" i="11"/>
  <c r="J422" i="11"/>
  <c r="N421" i="11"/>
  <c r="M421" i="11"/>
  <c r="L421" i="11"/>
  <c r="K421" i="11"/>
  <c r="J421" i="11"/>
  <c r="N420" i="11"/>
  <c r="M420" i="11"/>
  <c r="L420" i="11"/>
  <c r="K420" i="11"/>
  <c r="J420" i="11"/>
  <c r="N419" i="11"/>
  <c r="M419" i="11"/>
  <c r="L419" i="11"/>
  <c r="K419" i="11"/>
  <c r="J419" i="11"/>
  <c r="N418" i="11"/>
  <c r="M418" i="11"/>
  <c r="L418" i="11"/>
  <c r="K418" i="11"/>
  <c r="J418" i="11"/>
  <c r="N417" i="11"/>
  <c r="M417" i="11"/>
  <c r="L417" i="11"/>
  <c r="K417" i="11"/>
  <c r="J417" i="11"/>
  <c r="N416" i="11"/>
  <c r="M416" i="11"/>
  <c r="L416" i="11"/>
  <c r="K416" i="11"/>
  <c r="J416" i="11"/>
  <c r="N415" i="11"/>
  <c r="M415" i="11"/>
  <c r="L415" i="11"/>
  <c r="K415" i="11"/>
  <c r="J415" i="11"/>
  <c r="N414" i="11"/>
  <c r="M414" i="11"/>
  <c r="L414" i="11"/>
  <c r="K414" i="11"/>
  <c r="J414" i="11"/>
  <c r="N413" i="11"/>
  <c r="M413" i="11"/>
  <c r="L413" i="11"/>
  <c r="K413" i="11"/>
  <c r="J413" i="11"/>
  <c r="N412" i="11"/>
  <c r="M412" i="11"/>
  <c r="L412" i="11"/>
  <c r="K412" i="11"/>
  <c r="J412" i="11"/>
  <c r="N411" i="11"/>
  <c r="M411" i="11"/>
  <c r="L411" i="11"/>
  <c r="K411" i="11"/>
  <c r="J411" i="11"/>
  <c r="N410" i="11"/>
  <c r="M410" i="11"/>
  <c r="L410" i="11"/>
  <c r="K410" i="11"/>
  <c r="J410" i="11"/>
  <c r="N409" i="11"/>
  <c r="M409" i="11"/>
  <c r="L409" i="11"/>
  <c r="K409" i="11"/>
  <c r="J409" i="11"/>
  <c r="N408" i="11"/>
  <c r="M408" i="11"/>
  <c r="L408" i="11"/>
  <c r="K408" i="11"/>
  <c r="J408" i="11"/>
  <c r="N407" i="11"/>
  <c r="M407" i="11"/>
  <c r="L407" i="11"/>
  <c r="K407" i="11"/>
  <c r="J407" i="11"/>
  <c r="N406" i="11"/>
  <c r="M406" i="11"/>
  <c r="L406" i="11"/>
  <c r="K406" i="11"/>
  <c r="J406" i="11"/>
  <c r="N405" i="11"/>
  <c r="M405" i="11"/>
  <c r="L405" i="11"/>
  <c r="K405" i="11"/>
  <c r="J405" i="11"/>
  <c r="N404" i="11"/>
  <c r="M404" i="11"/>
  <c r="L404" i="11"/>
  <c r="K404" i="11"/>
  <c r="J404" i="11"/>
  <c r="N403" i="11"/>
  <c r="M403" i="11"/>
  <c r="L403" i="11"/>
  <c r="K403" i="11"/>
  <c r="J403" i="11"/>
  <c r="N402" i="11"/>
  <c r="M402" i="11"/>
  <c r="L402" i="11"/>
  <c r="K402" i="11"/>
  <c r="J402" i="11"/>
  <c r="N401" i="11"/>
  <c r="M401" i="11"/>
  <c r="L401" i="11"/>
  <c r="K401" i="11"/>
  <c r="J401" i="11"/>
  <c r="N400" i="11"/>
  <c r="M400" i="11"/>
  <c r="L400" i="11"/>
  <c r="K400" i="11"/>
  <c r="J400" i="11"/>
  <c r="N399" i="11"/>
  <c r="M399" i="11"/>
  <c r="L399" i="11"/>
  <c r="K399" i="11"/>
  <c r="J399" i="11"/>
  <c r="N398" i="11"/>
  <c r="M398" i="11"/>
  <c r="L398" i="11"/>
  <c r="K398" i="11"/>
  <c r="J398" i="11"/>
  <c r="N397" i="11"/>
  <c r="M397" i="11"/>
  <c r="L397" i="11"/>
  <c r="K397" i="11"/>
  <c r="J397" i="11"/>
  <c r="N396" i="11"/>
  <c r="M396" i="11"/>
  <c r="L396" i="11"/>
  <c r="K396" i="11"/>
  <c r="J396" i="11"/>
  <c r="N395" i="11"/>
  <c r="M395" i="11"/>
  <c r="L395" i="11"/>
  <c r="K395" i="11"/>
  <c r="J395" i="11"/>
  <c r="N394" i="11"/>
  <c r="M394" i="11"/>
  <c r="L394" i="11"/>
  <c r="K394" i="11"/>
  <c r="J394" i="11"/>
  <c r="N393" i="11"/>
  <c r="M393" i="11"/>
  <c r="L393" i="11"/>
  <c r="K393" i="11"/>
  <c r="J393" i="11"/>
  <c r="N392" i="11"/>
  <c r="M392" i="11"/>
  <c r="L392" i="11"/>
  <c r="K392" i="11"/>
  <c r="J392" i="11"/>
  <c r="N391" i="11"/>
  <c r="M391" i="11"/>
  <c r="L391" i="11"/>
  <c r="K391" i="11"/>
  <c r="J391" i="11"/>
  <c r="N390" i="11"/>
  <c r="M390" i="11"/>
  <c r="L390" i="11"/>
  <c r="K390" i="11"/>
  <c r="J390" i="11"/>
  <c r="N389" i="11"/>
  <c r="M389" i="11"/>
  <c r="L389" i="11"/>
  <c r="K389" i="11"/>
  <c r="J389" i="11"/>
  <c r="N388" i="11"/>
  <c r="M388" i="11"/>
  <c r="L388" i="11"/>
  <c r="K388" i="11"/>
  <c r="J388" i="11"/>
  <c r="N387" i="11"/>
  <c r="M387" i="11"/>
  <c r="L387" i="11"/>
  <c r="K387" i="11"/>
  <c r="J387" i="11"/>
  <c r="N386" i="11"/>
  <c r="M386" i="11"/>
  <c r="L386" i="11"/>
  <c r="K386" i="11"/>
  <c r="J386" i="11"/>
  <c r="N385" i="11"/>
  <c r="M385" i="11"/>
  <c r="L385" i="11"/>
  <c r="K385" i="11"/>
  <c r="J385" i="11"/>
  <c r="N384" i="11"/>
  <c r="M384" i="11"/>
  <c r="L384" i="11"/>
  <c r="K384" i="11"/>
  <c r="J384" i="11"/>
  <c r="N383" i="11"/>
  <c r="M383" i="11"/>
  <c r="L383" i="11"/>
  <c r="K383" i="11"/>
  <c r="J383" i="11"/>
  <c r="N382" i="11"/>
  <c r="M382" i="11"/>
  <c r="L382" i="11"/>
  <c r="K382" i="11"/>
  <c r="J382" i="11"/>
  <c r="N381" i="11"/>
  <c r="M381" i="11"/>
  <c r="L381" i="11"/>
  <c r="K381" i="11"/>
  <c r="J381" i="11"/>
  <c r="N380" i="11"/>
  <c r="M380" i="11"/>
  <c r="L380" i="11"/>
  <c r="K380" i="11"/>
  <c r="J380" i="11"/>
  <c r="N379" i="11"/>
  <c r="M379" i="11"/>
  <c r="L379" i="11"/>
  <c r="K379" i="11"/>
  <c r="J379" i="11"/>
  <c r="N378" i="11"/>
  <c r="M378" i="11"/>
  <c r="L378" i="11"/>
  <c r="K378" i="11"/>
  <c r="J378" i="11"/>
  <c r="N377" i="11"/>
  <c r="M377" i="11"/>
  <c r="L377" i="11"/>
  <c r="K377" i="11"/>
  <c r="J377" i="11"/>
  <c r="N376" i="11"/>
  <c r="M376" i="11"/>
  <c r="L376" i="11"/>
  <c r="K376" i="11"/>
  <c r="J376" i="11"/>
  <c r="N375" i="11"/>
  <c r="M375" i="11"/>
  <c r="L375" i="11"/>
  <c r="K375" i="11"/>
  <c r="J375" i="11"/>
  <c r="N374" i="11"/>
  <c r="M374" i="11"/>
  <c r="L374" i="11"/>
  <c r="K374" i="11"/>
  <c r="J374" i="11"/>
  <c r="N373" i="11"/>
  <c r="M373" i="11"/>
  <c r="L373" i="11"/>
  <c r="K373" i="11"/>
  <c r="J373" i="11"/>
  <c r="N372" i="11"/>
  <c r="M372" i="11"/>
  <c r="L372" i="11"/>
  <c r="K372" i="11"/>
  <c r="J372" i="11"/>
  <c r="N371" i="11"/>
  <c r="M371" i="11"/>
  <c r="L371" i="11"/>
  <c r="K371" i="11"/>
  <c r="J371" i="11"/>
  <c r="N370" i="11"/>
  <c r="M370" i="11"/>
  <c r="L370" i="11"/>
  <c r="K370" i="11"/>
  <c r="J370" i="11"/>
  <c r="N369" i="11"/>
  <c r="M369" i="11"/>
  <c r="L369" i="11"/>
  <c r="K369" i="11"/>
  <c r="J369" i="11"/>
  <c r="N368" i="11"/>
  <c r="M368" i="11"/>
  <c r="L368" i="11"/>
  <c r="K368" i="11"/>
  <c r="J368" i="11"/>
  <c r="N367" i="11"/>
  <c r="M367" i="11"/>
  <c r="L367" i="11"/>
  <c r="K367" i="11"/>
  <c r="J367" i="11"/>
  <c r="N366" i="11"/>
  <c r="M366" i="11"/>
  <c r="L366" i="11"/>
  <c r="K366" i="11"/>
  <c r="J366" i="11"/>
  <c r="N365" i="11"/>
  <c r="M365" i="11"/>
  <c r="L365" i="11"/>
  <c r="K365" i="11"/>
  <c r="J365" i="11"/>
  <c r="N364" i="11"/>
  <c r="M364" i="11"/>
  <c r="L364" i="11"/>
  <c r="K364" i="11"/>
  <c r="J364" i="11"/>
  <c r="N363" i="11"/>
  <c r="M363" i="11"/>
  <c r="L363" i="11"/>
  <c r="K363" i="11"/>
  <c r="J363" i="11"/>
  <c r="N362" i="11"/>
  <c r="M362" i="11"/>
  <c r="L362" i="11"/>
  <c r="K362" i="11"/>
  <c r="J362" i="11"/>
  <c r="N361" i="11"/>
  <c r="M361" i="11"/>
  <c r="L361" i="11"/>
  <c r="K361" i="11"/>
  <c r="J361" i="11"/>
  <c r="N360" i="11"/>
  <c r="M360" i="11"/>
  <c r="L360" i="11"/>
  <c r="K360" i="11"/>
  <c r="J360" i="11"/>
  <c r="N359" i="11"/>
  <c r="M359" i="11"/>
  <c r="L359" i="11"/>
  <c r="K359" i="11"/>
  <c r="J359" i="11"/>
  <c r="N358" i="11"/>
  <c r="M358" i="11"/>
  <c r="L358" i="11"/>
  <c r="K358" i="11"/>
  <c r="J358" i="11"/>
  <c r="N357" i="11"/>
  <c r="M357" i="11"/>
  <c r="L357" i="11"/>
  <c r="K357" i="11"/>
  <c r="J357" i="11"/>
  <c r="N356" i="11"/>
  <c r="M356" i="11"/>
  <c r="L356" i="11"/>
  <c r="K356" i="11"/>
  <c r="J356" i="11"/>
  <c r="N355" i="11"/>
  <c r="M355" i="11"/>
  <c r="L355" i="11"/>
  <c r="K355" i="11"/>
  <c r="J355" i="11"/>
  <c r="N354" i="11"/>
  <c r="M354" i="11"/>
  <c r="L354" i="11"/>
  <c r="K354" i="11"/>
  <c r="J354" i="11"/>
  <c r="N353" i="11"/>
  <c r="M353" i="11"/>
  <c r="L353" i="11"/>
  <c r="K353" i="11"/>
  <c r="J353" i="11"/>
  <c r="N352" i="11"/>
  <c r="M352" i="11"/>
  <c r="L352" i="11"/>
  <c r="K352" i="11"/>
  <c r="J352" i="11"/>
  <c r="N351" i="11"/>
  <c r="M351" i="11"/>
  <c r="L351" i="11"/>
  <c r="K351" i="11"/>
  <c r="J351" i="11"/>
  <c r="N350" i="11"/>
  <c r="M350" i="11"/>
  <c r="L350" i="11"/>
  <c r="K350" i="11"/>
  <c r="J350" i="11"/>
  <c r="N349" i="11"/>
  <c r="M349" i="11"/>
  <c r="L349" i="11"/>
  <c r="K349" i="11"/>
  <c r="J349" i="11"/>
  <c r="N348" i="11"/>
  <c r="M348" i="11"/>
  <c r="L348" i="11"/>
  <c r="K348" i="11"/>
  <c r="J348" i="11"/>
  <c r="N347" i="11"/>
  <c r="M347" i="11"/>
  <c r="L347" i="11"/>
  <c r="K347" i="11"/>
  <c r="J347" i="11"/>
  <c r="N346" i="11"/>
  <c r="M346" i="11"/>
  <c r="L346" i="11"/>
  <c r="K346" i="11"/>
  <c r="J346" i="11"/>
  <c r="N345" i="11"/>
  <c r="M345" i="11"/>
  <c r="L345" i="11"/>
  <c r="K345" i="11"/>
  <c r="J345" i="11"/>
  <c r="N344" i="11"/>
  <c r="M344" i="11"/>
  <c r="L344" i="11"/>
  <c r="K344" i="11"/>
  <c r="J344" i="11"/>
  <c r="N343" i="11"/>
  <c r="M343" i="11"/>
  <c r="L343" i="11"/>
  <c r="K343" i="11"/>
  <c r="J343" i="11"/>
  <c r="N342" i="11"/>
  <c r="M342" i="11"/>
  <c r="L342" i="11"/>
  <c r="K342" i="11"/>
  <c r="J342" i="11"/>
  <c r="N341" i="11"/>
  <c r="M341" i="11"/>
  <c r="L341" i="11"/>
  <c r="K341" i="11"/>
  <c r="J341" i="11"/>
  <c r="N340" i="11"/>
  <c r="M340" i="11"/>
  <c r="L340" i="11"/>
  <c r="K340" i="11"/>
  <c r="J340" i="11"/>
  <c r="N339" i="11"/>
  <c r="M339" i="11"/>
  <c r="L339" i="11"/>
  <c r="K339" i="11"/>
  <c r="J339" i="11"/>
  <c r="N338" i="11"/>
  <c r="M338" i="11"/>
  <c r="L338" i="11"/>
  <c r="K338" i="11"/>
  <c r="J338" i="11"/>
  <c r="N337" i="11"/>
  <c r="M337" i="11"/>
  <c r="L337" i="11"/>
  <c r="K337" i="11"/>
  <c r="J337" i="11"/>
  <c r="N336" i="11"/>
  <c r="M336" i="11"/>
  <c r="L336" i="11"/>
  <c r="K336" i="11"/>
  <c r="J336" i="11"/>
  <c r="N335" i="11"/>
  <c r="M335" i="11"/>
  <c r="L335" i="11"/>
  <c r="K335" i="11"/>
  <c r="J335" i="11"/>
  <c r="N334" i="11"/>
  <c r="M334" i="11"/>
  <c r="L334" i="11"/>
  <c r="K334" i="11"/>
  <c r="J334" i="11"/>
  <c r="N333" i="11"/>
  <c r="M333" i="11"/>
  <c r="L333" i="11"/>
  <c r="K333" i="11"/>
  <c r="J333" i="11"/>
  <c r="N332" i="11"/>
  <c r="M332" i="11"/>
  <c r="L332" i="11"/>
  <c r="K332" i="11"/>
  <c r="J332" i="11"/>
  <c r="N331" i="11"/>
  <c r="M331" i="11"/>
  <c r="L331" i="11"/>
  <c r="K331" i="11"/>
  <c r="J331" i="11"/>
  <c r="N330" i="11"/>
  <c r="M330" i="11"/>
  <c r="L330" i="11"/>
  <c r="K330" i="11"/>
  <c r="J330" i="11"/>
  <c r="N329" i="11"/>
  <c r="M329" i="11"/>
  <c r="L329" i="11"/>
  <c r="K329" i="11"/>
  <c r="J329" i="11"/>
  <c r="N328" i="11"/>
  <c r="M328" i="11"/>
  <c r="L328" i="11"/>
  <c r="K328" i="11"/>
  <c r="J328" i="11"/>
  <c r="N327" i="11"/>
  <c r="M327" i="11"/>
  <c r="L327" i="11"/>
  <c r="K327" i="11"/>
  <c r="J327" i="11"/>
  <c r="N326" i="11"/>
  <c r="M326" i="11"/>
  <c r="L326" i="11"/>
  <c r="K326" i="11"/>
  <c r="J326" i="11"/>
  <c r="N325" i="11"/>
  <c r="M325" i="11"/>
  <c r="L325" i="11"/>
  <c r="K325" i="11"/>
  <c r="J325" i="11"/>
  <c r="N324" i="11"/>
  <c r="M324" i="11"/>
  <c r="L324" i="11"/>
  <c r="K324" i="11"/>
  <c r="J324" i="11"/>
  <c r="N323" i="11"/>
  <c r="M323" i="11"/>
  <c r="L323" i="11"/>
  <c r="K323" i="11"/>
  <c r="J323" i="11"/>
  <c r="N322" i="11"/>
  <c r="M322" i="11"/>
  <c r="L322" i="11"/>
  <c r="K322" i="11"/>
  <c r="J322" i="11"/>
  <c r="N321" i="11"/>
  <c r="M321" i="11"/>
  <c r="L321" i="11"/>
  <c r="K321" i="11"/>
  <c r="J321" i="11"/>
  <c r="N320" i="11"/>
  <c r="M320" i="11"/>
  <c r="L320" i="11"/>
  <c r="K320" i="11"/>
  <c r="J320" i="11"/>
  <c r="N319" i="11"/>
  <c r="M319" i="11"/>
  <c r="L319" i="11"/>
  <c r="K319" i="11"/>
  <c r="J319" i="11"/>
  <c r="N318" i="11"/>
  <c r="M318" i="11"/>
  <c r="L318" i="11"/>
  <c r="K318" i="11"/>
  <c r="J318" i="11"/>
  <c r="N317" i="11"/>
  <c r="M317" i="11"/>
  <c r="L317" i="11"/>
  <c r="K317" i="11"/>
  <c r="J317" i="11"/>
  <c r="N316" i="11"/>
  <c r="M316" i="11"/>
  <c r="L316" i="11"/>
  <c r="K316" i="11"/>
  <c r="J316" i="11"/>
  <c r="N315" i="11"/>
  <c r="M315" i="11"/>
  <c r="L315" i="11"/>
  <c r="K315" i="11"/>
  <c r="J315" i="11"/>
  <c r="N314" i="11"/>
  <c r="M314" i="11"/>
  <c r="L314" i="11"/>
  <c r="K314" i="11"/>
  <c r="J314" i="11"/>
  <c r="N313" i="11"/>
  <c r="M313" i="11"/>
  <c r="L313" i="11"/>
  <c r="K313" i="11"/>
  <c r="J313" i="11"/>
  <c r="N312" i="11"/>
  <c r="M312" i="11"/>
  <c r="L312" i="11"/>
  <c r="K312" i="11"/>
  <c r="J312" i="11"/>
  <c r="N311" i="11"/>
  <c r="M311" i="11"/>
  <c r="L311" i="11"/>
  <c r="K311" i="11"/>
  <c r="J311" i="11"/>
  <c r="N310" i="11"/>
  <c r="M310" i="11"/>
  <c r="L310" i="11"/>
  <c r="K310" i="11"/>
  <c r="J310" i="11"/>
  <c r="N309" i="11"/>
  <c r="M309" i="11"/>
  <c r="L309" i="11"/>
  <c r="K309" i="11"/>
  <c r="J309" i="11"/>
  <c r="N308" i="11"/>
  <c r="M308" i="11"/>
  <c r="L308" i="11"/>
  <c r="K308" i="11"/>
  <c r="J308" i="11"/>
  <c r="N307" i="11"/>
  <c r="M307" i="11"/>
  <c r="L307" i="11"/>
  <c r="K307" i="11"/>
  <c r="J307" i="11"/>
  <c r="N306" i="11"/>
  <c r="M306" i="11"/>
  <c r="L306" i="11"/>
  <c r="K306" i="11"/>
  <c r="J306" i="11"/>
  <c r="N305" i="11"/>
  <c r="M305" i="11"/>
  <c r="L305" i="11"/>
  <c r="K305" i="11"/>
  <c r="J305" i="11"/>
  <c r="N304" i="11"/>
  <c r="M304" i="11"/>
  <c r="L304" i="11"/>
  <c r="K304" i="11"/>
  <c r="J304" i="11"/>
  <c r="N303" i="11"/>
  <c r="M303" i="11"/>
  <c r="L303" i="11"/>
  <c r="K303" i="11"/>
  <c r="J303" i="11"/>
  <c r="N302" i="11"/>
  <c r="M302" i="11"/>
  <c r="L302" i="11"/>
  <c r="K302" i="11"/>
  <c r="J302" i="11"/>
  <c r="N301" i="11"/>
  <c r="M301" i="11"/>
  <c r="L301" i="11"/>
  <c r="K301" i="11"/>
  <c r="J301" i="11"/>
  <c r="N300" i="11"/>
  <c r="M300" i="11"/>
  <c r="L300" i="11"/>
  <c r="K300" i="11"/>
  <c r="J300" i="11"/>
  <c r="N299" i="11"/>
  <c r="M299" i="11"/>
  <c r="L299" i="11"/>
  <c r="K299" i="11"/>
  <c r="J299" i="11"/>
  <c r="N298" i="11"/>
  <c r="M298" i="11"/>
  <c r="L298" i="11"/>
  <c r="K298" i="11"/>
  <c r="J298" i="11"/>
  <c r="N297" i="11"/>
  <c r="M297" i="11"/>
  <c r="L297" i="11"/>
  <c r="K297" i="11"/>
  <c r="J297" i="11"/>
  <c r="N296" i="11"/>
  <c r="M296" i="11"/>
  <c r="L296" i="11"/>
  <c r="K296" i="11"/>
  <c r="J296" i="11"/>
  <c r="N295" i="11"/>
  <c r="M295" i="11"/>
  <c r="L295" i="11"/>
  <c r="K295" i="11"/>
  <c r="J295" i="11"/>
  <c r="N294" i="11"/>
  <c r="M294" i="11"/>
  <c r="L294" i="11"/>
  <c r="K294" i="11"/>
  <c r="J294" i="11"/>
  <c r="N293" i="11"/>
  <c r="M293" i="11"/>
  <c r="L293" i="11"/>
  <c r="K293" i="11"/>
  <c r="J293" i="11"/>
  <c r="N292" i="11"/>
  <c r="M292" i="11"/>
  <c r="L292" i="11"/>
  <c r="K292" i="11"/>
  <c r="J292" i="11"/>
  <c r="N291" i="11"/>
  <c r="M291" i="11"/>
  <c r="L291" i="11"/>
  <c r="K291" i="11"/>
  <c r="J291" i="11"/>
  <c r="N290" i="11"/>
  <c r="M290" i="11"/>
  <c r="L290" i="11"/>
  <c r="K290" i="11"/>
  <c r="J290" i="11"/>
  <c r="N289" i="11"/>
  <c r="M289" i="11"/>
  <c r="L289" i="11"/>
  <c r="K289" i="11"/>
  <c r="J289" i="11"/>
  <c r="N288" i="11"/>
  <c r="M288" i="11"/>
  <c r="L288" i="11"/>
  <c r="K288" i="11"/>
  <c r="J288" i="11"/>
  <c r="N287" i="11"/>
  <c r="M287" i="11"/>
  <c r="L287" i="11"/>
  <c r="K287" i="11"/>
  <c r="J287" i="11"/>
  <c r="N286" i="11"/>
  <c r="M286" i="11"/>
  <c r="L286" i="11"/>
  <c r="K286" i="11"/>
  <c r="J286" i="11"/>
  <c r="N285" i="11"/>
  <c r="M285" i="11"/>
  <c r="L285" i="11"/>
  <c r="K285" i="11"/>
  <c r="J285" i="11"/>
  <c r="N284" i="11"/>
  <c r="M284" i="11"/>
  <c r="L284" i="11"/>
  <c r="K284" i="11"/>
  <c r="J284" i="11"/>
  <c r="N283" i="11"/>
  <c r="M283" i="11"/>
  <c r="L283" i="11"/>
  <c r="K283" i="11"/>
  <c r="J283" i="11"/>
  <c r="N282" i="11"/>
  <c r="M282" i="11"/>
  <c r="L282" i="11"/>
  <c r="K282" i="11"/>
  <c r="J282" i="11"/>
  <c r="N281" i="11"/>
  <c r="M281" i="11"/>
  <c r="L281" i="11"/>
  <c r="K281" i="11"/>
  <c r="J281" i="11"/>
  <c r="N280" i="11"/>
  <c r="M280" i="11"/>
  <c r="L280" i="11"/>
  <c r="K280" i="11"/>
  <c r="J280" i="11"/>
  <c r="N279" i="11"/>
  <c r="M279" i="11"/>
  <c r="L279" i="11"/>
  <c r="K279" i="11"/>
  <c r="J279" i="11"/>
  <c r="N278" i="11"/>
  <c r="M278" i="11"/>
  <c r="L278" i="11"/>
  <c r="K278" i="11"/>
  <c r="J278" i="11"/>
  <c r="N277" i="11"/>
  <c r="M277" i="11"/>
  <c r="L277" i="11"/>
  <c r="K277" i="11"/>
  <c r="J277" i="11"/>
  <c r="N276" i="11"/>
  <c r="M276" i="11"/>
  <c r="L276" i="11"/>
  <c r="K276" i="11"/>
  <c r="J276" i="11"/>
  <c r="N275" i="11"/>
  <c r="M275" i="11"/>
  <c r="L275" i="11"/>
  <c r="K275" i="11"/>
  <c r="J275" i="11"/>
  <c r="N274" i="11"/>
  <c r="M274" i="11"/>
  <c r="L274" i="11"/>
  <c r="K274" i="11"/>
  <c r="J274" i="11"/>
  <c r="N273" i="11"/>
  <c r="M273" i="11"/>
  <c r="L273" i="11"/>
  <c r="K273" i="11"/>
  <c r="J273" i="11"/>
  <c r="N272" i="11"/>
  <c r="M272" i="11"/>
  <c r="L272" i="11"/>
  <c r="K272" i="11"/>
  <c r="J272" i="11"/>
  <c r="N271" i="11"/>
  <c r="M271" i="11"/>
  <c r="L271" i="11"/>
  <c r="K271" i="11"/>
  <c r="J271" i="11"/>
  <c r="N270" i="11"/>
  <c r="M270" i="11"/>
  <c r="L270" i="11"/>
  <c r="K270" i="11"/>
  <c r="J270" i="11"/>
  <c r="N269" i="11"/>
  <c r="M269" i="11"/>
  <c r="L269" i="11"/>
  <c r="K269" i="11"/>
  <c r="J269" i="11"/>
  <c r="N268" i="11"/>
  <c r="M268" i="11"/>
  <c r="L268" i="11"/>
  <c r="K268" i="11"/>
  <c r="J268" i="11"/>
  <c r="N267" i="11"/>
  <c r="M267" i="11"/>
  <c r="L267" i="11"/>
  <c r="K267" i="11"/>
  <c r="J267" i="11"/>
  <c r="N266" i="11"/>
  <c r="M266" i="11"/>
  <c r="L266" i="11"/>
  <c r="K266" i="11"/>
  <c r="J266" i="11"/>
  <c r="N265" i="11"/>
  <c r="M265" i="11"/>
  <c r="L265" i="11"/>
  <c r="K265" i="11"/>
  <c r="J265" i="11"/>
  <c r="N264" i="11"/>
  <c r="M264" i="11"/>
  <c r="L264" i="11"/>
  <c r="K264" i="11"/>
  <c r="J264" i="11"/>
  <c r="N263" i="11"/>
  <c r="M263" i="11"/>
  <c r="L263" i="11"/>
  <c r="K263" i="11"/>
  <c r="J263" i="11"/>
  <c r="N262" i="11"/>
  <c r="M262" i="11"/>
  <c r="L262" i="11"/>
  <c r="K262" i="11"/>
  <c r="J262" i="11"/>
  <c r="N261" i="11"/>
  <c r="M261" i="11"/>
  <c r="L261" i="11"/>
  <c r="K261" i="11"/>
  <c r="J261" i="11"/>
  <c r="N260" i="11"/>
  <c r="M260" i="11"/>
  <c r="L260" i="11"/>
  <c r="K260" i="11"/>
  <c r="J260" i="11"/>
  <c r="N259" i="11"/>
  <c r="M259" i="11"/>
  <c r="L259" i="11"/>
  <c r="K259" i="11"/>
  <c r="J259" i="11"/>
  <c r="N258" i="11"/>
  <c r="M258" i="11"/>
  <c r="L258" i="11"/>
  <c r="K258" i="11"/>
  <c r="J258" i="11"/>
  <c r="N257" i="11"/>
  <c r="M257" i="11"/>
  <c r="L257" i="11"/>
  <c r="K257" i="11"/>
  <c r="J257" i="11"/>
  <c r="N256" i="11"/>
  <c r="M256" i="11"/>
  <c r="L256" i="11"/>
  <c r="K256" i="11"/>
  <c r="J256" i="11"/>
  <c r="N255" i="11"/>
  <c r="M255" i="11"/>
  <c r="L255" i="11"/>
  <c r="K255" i="11"/>
  <c r="J255" i="11"/>
  <c r="N254" i="11"/>
  <c r="M254" i="11"/>
  <c r="L254" i="11"/>
  <c r="K254" i="11"/>
  <c r="J254" i="11"/>
  <c r="N253" i="11"/>
  <c r="M253" i="11"/>
  <c r="L253" i="11"/>
  <c r="K253" i="11"/>
  <c r="J253" i="11"/>
  <c r="N252" i="11"/>
  <c r="M252" i="11"/>
  <c r="L252" i="11"/>
  <c r="K252" i="11"/>
  <c r="J252" i="11"/>
  <c r="N251" i="11"/>
  <c r="M251" i="11"/>
  <c r="L251" i="11"/>
  <c r="K251" i="11"/>
  <c r="J251" i="11"/>
  <c r="N250" i="11"/>
  <c r="M250" i="11"/>
  <c r="L250" i="11"/>
  <c r="K250" i="11"/>
  <c r="J250" i="11"/>
  <c r="N249" i="11"/>
  <c r="M249" i="11"/>
  <c r="L249" i="11"/>
  <c r="K249" i="11"/>
  <c r="J249" i="11"/>
  <c r="N248" i="11"/>
  <c r="M248" i="11"/>
  <c r="L248" i="11"/>
  <c r="K248" i="11"/>
  <c r="J248" i="11"/>
  <c r="N247" i="11"/>
  <c r="M247" i="11"/>
  <c r="L247" i="11"/>
  <c r="K247" i="11"/>
  <c r="J247" i="11"/>
  <c r="N246" i="11"/>
  <c r="M246" i="11"/>
  <c r="L246" i="11"/>
  <c r="K246" i="11"/>
  <c r="J246" i="11"/>
  <c r="N245" i="11"/>
  <c r="M245" i="11"/>
  <c r="L245" i="11"/>
  <c r="K245" i="11"/>
  <c r="J245" i="11"/>
  <c r="N244" i="11"/>
  <c r="M244" i="11"/>
  <c r="L244" i="11"/>
  <c r="K244" i="11"/>
  <c r="J244" i="11"/>
  <c r="N243" i="11"/>
  <c r="M243" i="11"/>
  <c r="L243" i="11"/>
  <c r="K243" i="11"/>
  <c r="J243" i="11"/>
  <c r="N242" i="11"/>
  <c r="M242" i="11"/>
  <c r="L242" i="11"/>
  <c r="K242" i="11"/>
  <c r="J242" i="11"/>
  <c r="N241" i="11"/>
  <c r="M241" i="11"/>
  <c r="L241" i="11"/>
  <c r="K241" i="11"/>
  <c r="J241" i="11"/>
  <c r="N240" i="11"/>
  <c r="M240" i="11"/>
  <c r="L240" i="11"/>
  <c r="K240" i="11"/>
  <c r="J240" i="11"/>
  <c r="N239" i="11"/>
  <c r="M239" i="11"/>
  <c r="L239" i="11"/>
  <c r="K239" i="11"/>
  <c r="J239" i="11"/>
  <c r="N238" i="11"/>
  <c r="M238" i="11"/>
  <c r="L238" i="11"/>
  <c r="K238" i="11"/>
  <c r="J238" i="11"/>
  <c r="N237" i="11"/>
  <c r="M237" i="11"/>
  <c r="L237" i="11"/>
  <c r="K237" i="11"/>
  <c r="J237" i="11"/>
  <c r="N236" i="11"/>
  <c r="M236" i="11"/>
  <c r="L236" i="11"/>
  <c r="K236" i="11"/>
  <c r="J236" i="11"/>
  <c r="N235" i="11"/>
  <c r="M235" i="11"/>
  <c r="L235" i="11"/>
  <c r="K235" i="11"/>
  <c r="J235" i="11"/>
  <c r="N234" i="11"/>
  <c r="M234" i="11"/>
  <c r="L234" i="11"/>
  <c r="K234" i="11"/>
  <c r="J234" i="11"/>
  <c r="N233" i="11"/>
  <c r="M233" i="11"/>
  <c r="L233" i="11"/>
  <c r="K233" i="11"/>
  <c r="J233" i="11"/>
  <c r="N232" i="11"/>
  <c r="M232" i="11"/>
  <c r="L232" i="11"/>
  <c r="K232" i="11"/>
  <c r="J232" i="11"/>
  <c r="N231" i="11"/>
  <c r="M231" i="11"/>
  <c r="L231" i="11"/>
  <c r="K231" i="11"/>
  <c r="J231" i="11"/>
  <c r="N230" i="11"/>
  <c r="M230" i="11"/>
  <c r="L230" i="11"/>
  <c r="K230" i="11"/>
  <c r="J230" i="11"/>
  <c r="N229" i="11"/>
  <c r="M229" i="11"/>
  <c r="L229" i="11"/>
  <c r="K229" i="11"/>
  <c r="J229" i="11"/>
  <c r="N228" i="11"/>
  <c r="M228" i="11"/>
  <c r="L228" i="11"/>
  <c r="K228" i="11"/>
  <c r="J228" i="11"/>
  <c r="N227" i="11"/>
  <c r="M227" i="11"/>
  <c r="L227" i="11"/>
  <c r="K227" i="11"/>
  <c r="J227" i="11"/>
  <c r="N226" i="11"/>
  <c r="M226" i="11"/>
  <c r="L226" i="11"/>
  <c r="K226" i="11"/>
  <c r="J226" i="11"/>
  <c r="N225" i="11"/>
  <c r="M225" i="11"/>
  <c r="L225" i="11"/>
  <c r="K225" i="11"/>
  <c r="J225" i="11"/>
  <c r="N224" i="11"/>
  <c r="M224" i="11"/>
  <c r="L224" i="11"/>
  <c r="K224" i="11"/>
  <c r="J224" i="11"/>
  <c r="N223" i="11"/>
  <c r="M223" i="11"/>
  <c r="L223" i="11"/>
  <c r="K223" i="11"/>
  <c r="J223" i="11"/>
  <c r="N222" i="11"/>
  <c r="M222" i="11"/>
  <c r="L222" i="11"/>
  <c r="K222" i="11"/>
  <c r="J222" i="11"/>
  <c r="N221" i="11"/>
  <c r="M221" i="11"/>
  <c r="L221" i="11"/>
  <c r="K221" i="11"/>
  <c r="J221" i="11"/>
  <c r="N220" i="11"/>
  <c r="M220" i="11"/>
  <c r="L220" i="11"/>
  <c r="K220" i="11"/>
  <c r="J220" i="11"/>
  <c r="N219" i="11"/>
  <c r="M219" i="11"/>
  <c r="L219" i="11"/>
  <c r="K219" i="11"/>
  <c r="J219" i="11"/>
  <c r="N218" i="11"/>
  <c r="M218" i="11"/>
  <c r="L218" i="11"/>
  <c r="K218" i="11"/>
  <c r="J218" i="11"/>
  <c r="N217" i="11"/>
  <c r="M217" i="11"/>
  <c r="L217" i="11"/>
  <c r="K217" i="11"/>
  <c r="J217" i="11"/>
  <c r="N216" i="11"/>
  <c r="M216" i="11"/>
  <c r="L216" i="11"/>
  <c r="K216" i="11"/>
  <c r="J216" i="11"/>
  <c r="N215" i="11"/>
  <c r="M215" i="11"/>
  <c r="L215" i="11"/>
  <c r="K215" i="11"/>
  <c r="J215" i="11"/>
  <c r="N214" i="11"/>
  <c r="M214" i="11"/>
  <c r="L214" i="11"/>
  <c r="K214" i="11"/>
  <c r="J214" i="11"/>
  <c r="N213" i="11"/>
  <c r="M213" i="11"/>
  <c r="L213" i="11"/>
  <c r="K213" i="11"/>
  <c r="J213" i="11"/>
  <c r="N212" i="11"/>
  <c r="M212" i="11"/>
  <c r="L212" i="11"/>
  <c r="K212" i="11"/>
  <c r="J212" i="11"/>
  <c r="N211" i="11"/>
  <c r="M211" i="11"/>
  <c r="L211" i="11"/>
  <c r="K211" i="11"/>
  <c r="J211" i="11"/>
  <c r="N210" i="11"/>
  <c r="M210" i="11"/>
  <c r="L210" i="11"/>
  <c r="K210" i="11"/>
  <c r="J210" i="11"/>
  <c r="N209" i="11"/>
  <c r="M209" i="11"/>
  <c r="L209" i="11"/>
  <c r="K209" i="11"/>
  <c r="J209" i="11"/>
  <c r="N208" i="11"/>
  <c r="M208" i="11"/>
  <c r="L208" i="11"/>
  <c r="K208" i="11"/>
  <c r="J208" i="11"/>
  <c r="N207" i="11"/>
  <c r="M207" i="11"/>
  <c r="L207" i="11"/>
  <c r="K207" i="11"/>
  <c r="J207" i="11"/>
  <c r="N206" i="11"/>
  <c r="M206" i="11"/>
  <c r="L206" i="11"/>
  <c r="K206" i="11"/>
  <c r="J206" i="11"/>
  <c r="N205" i="11"/>
  <c r="M205" i="11"/>
  <c r="L205" i="11"/>
  <c r="K205" i="11"/>
  <c r="J205" i="11"/>
  <c r="N204" i="11"/>
  <c r="M204" i="11"/>
  <c r="L204" i="11"/>
  <c r="K204" i="11"/>
  <c r="J204" i="11"/>
  <c r="N203" i="11"/>
  <c r="M203" i="11"/>
  <c r="L203" i="11"/>
  <c r="K203" i="11"/>
  <c r="J203" i="11"/>
  <c r="N202" i="11"/>
  <c r="M202" i="11"/>
  <c r="L202" i="11"/>
  <c r="K202" i="11"/>
  <c r="J202" i="11"/>
  <c r="N201" i="11"/>
  <c r="M201" i="11"/>
  <c r="L201" i="11"/>
  <c r="K201" i="11"/>
  <c r="J201" i="11"/>
  <c r="N200" i="11"/>
  <c r="M200" i="11"/>
  <c r="L200" i="11"/>
  <c r="K200" i="11"/>
  <c r="J200" i="11"/>
  <c r="N199" i="11"/>
  <c r="M199" i="11"/>
  <c r="L199" i="11"/>
  <c r="K199" i="11"/>
  <c r="J199" i="11"/>
  <c r="N198" i="11"/>
  <c r="M198" i="11"/>
  <c r="L198" i="11"/>
  <c r="K198" i="11"/>
  <c r="J198" i="11"/>
  <c r="N197" i="11"/>
  <c r="M197" i="11"/>
  <c r="L197" i="11"/>
  <c r="K197" i="11"/>
  <c r="J197" i="11"/>
  <c r="N196" i="11"/>
  <c r="M196" i="11"/>
  <c r="L196" i="11"/>
  <c r="K196" i="11"/>
  <c r="J196" i="11"/>
  <c r="N195" i="11"/>
  <c r="M195" i="11"/>
  <c r="L195" i="11"/>
  <c r="K195" i="11"/>
  <c r="J195" i="11"/>
  <c r="N194" i="11"/>
  <c r="M194" i="11"/>
  <c r="L194" i="11"/>
  <c r="K194" i="11"/>
  <c r="J194" i="11"/>
  <c r="N193" i="11"/>
  <c r="M193" i="11"/>
  <c r="L193" i="11"/>
  <c r="K193" i="11"/>
  <c r="J193" i="11"/>
  <c r="N192" i="11"/>
  <c r="M192" i="11"/>
  <c r="L192" i="11"/>
  <c r="K192" i="11"/>
  <c r="J192" i="11"/>
  <c r="N191" i="11"/>
  <c r="M191" i="11"/>
  <c r="L191" i="11"/>
  <c r="K191" i="11"/>
  <c r="J191" i="11"/>
  <c r="N190" i="11"/>
  <c r="M190" i="11"/>
  <c r="L190" i="11"/>
  <c r="K190" i="11"/>
  <c r="J190" i="11"/>
  <c r="N189" i="11"/>
  <c r="M189" i="11"/>
  <c r="L189" i="11"/>
  <c r="K189" i="11"/>
  <c r="J189" i="11"/>
  <c r="N188" i="11"/>
  <c r="M188" i="11"/>
  <c r="L188" i="11"/>
  <c r="K188" i="11"/>
  <c r="J188" i="11"/>
  <c r="N187" i="11"/>
  <c r="M187" i="11"/>
  <c r="L187" i="11"/>
  <c r="K187" i="11"/>
  <c r="J187" i="11"/>
  <c r="N186" i="11"/>
  <c r="M186" i="11"/>
  <c r="L186" i="11"/>
  <c r="K186" i="11"/>
  <c r="J186" i="11"/>
  <c r="N185" i="11"/>
  <c r="M185" i="11"/>
  <c r="L185" i="11"/>
  <c r="K185" i="11"/>
  <c r="J185" i="11"/>
  <c r="N184" i="11"/>
  <c r="M184" i="11"/>
  <c r="L184" i="11"/>
  <c r="K184" i="11"/>
  <c r="J184" i="11"/>
  <c r="N183" i="11"/>
  <c r="M183" i="11"/>
  <c r="L183" i="11"/>
  <c r="K183" i="11"/>
  <c r="J183" i="11"/>
  <c r="N182" i="11"/>
  <c r="M182" i="11"/>
  <c r="L182" i="11"/>
  <c r="K182" i="11"/>
  <c r="J182" i="11"/>
  <c r="N181" i="11"/>
  <c r="M181" i="11"/>
  <c r="L181" i="11"/>
  <c r="K181" i="11"/>
  <c r="J181" i="11"/>
  <c r="N180" i="11"/>
  <c r="M180" i="11"/>
  <c r="L180" i="11"/>
  <c r="K180" i="11"/>
  <c r="J180" i="11"/>
  <c r="N179" i="11"/>
  <c r="M179" i="11"/>
  <c r="L179" i="11"/>
  <c r="K179" i="11"/>
  <c r="J179" i="11"/>
  <c r="N178" i="11"/>
  <c r="M178" i="11"/>
  <c r="L178" i="11"/>
  <c r="K178" i="11"/>
  <c r="J178" i="11"/>
  <c r="N177" i="11"/>
  <c r="M177" i="11"/>
  <c r="L177" i="11"/>
  <c r="K177" i="11"/>
  <c r="J177" i="11"/>
  <c r="N176" i="11"/>
  <c r="M176" i="11"/>
  <c r="L176" i="11"/>
  <c r="K176" i="11"/>
  <c r="J176" i="11"/>
  <c r="N175" i="11"/>
  <c r="M175" i="11"/>
  <c r="L175" i="11"/>
  <c r="K175" i="11"/>
  <c r="J175" i="11"/>
  <c r="N174" i="11"/>
  <c r="M174" i="11"/>
  <c r="L174" i="11"/>
  <c r="K174" i="11"/>
  <c r="J174" i="11"/>
  <c r="N173" i="11"/>
  <c r="M173" i="11"/>
  <c r="L173" i="11"/>
  <c r="K173" i="11"/>
  <c r="J173" i="11"/>
  <c r="N172" i="11"/>
  <c r="M172" i="11"/>
  <c r="L172" i="11"/>
  <c r="K172" i="11"/>
  <c r="J172" i="11"/>
  <c r="N171" i="11"/>
  <c r="M171" i="11"/>
  <c r="L171" i="11"/>
  <c r="K171" i="11"/>
  <c r="J171" i="11"/>
  <c r="N170" i="11"/>
  <c r="M170" i="11"/>
  <c r="L170" i="11"/>
  <c r="K170" i="11"/>
  <c r="J170" i="11"/>
  <c r="N169" i="11"/>
  <c r="M169" i="11"/>
  <c r="L169" i="11"/>
  <c r="K169" i="11"/>
  <c r="J169" i="11"/>
  <c r="N168" i="11"/>
  <c r="M168" i="11"/>
  <c r="L168" i="11"/>
  <c r="K168" i="11"/>
  <c r="J168" i="11"/>
  <c r="N167" i="11"/>
  <c r="M167" i="11"/>
  <c r="L167" i="11"/>
  <c r="K167" i="11"/>
  <c r="J167" i="11"/>
  <c r="N166" i="11"/>
  <c r="M166" i="11"/>
  <c r="L166" i="11"/>
  <c r="K166" i="11"/>
  <c r="J166" i="11"/>
  <c r="N165" i="11"/>
  <c r="M165" i="11"/>
  <c r="L165" i="11"/>
  <c r="K165" i="11"/>
  <c r="J165" i="11"/>
  <c r="N164" i="11"/>
  <c r="M164" i="11"/>
  <c r="L164" i="11"/>
  <c r="K164" i="11"/>
  <c r="J164" i="11"/>
  <c r="N163" i="11"/>
  <c r="M163" i="11"/>
  <c r="L163" i="11"/>
  <c r="K163" i="11"/>
  <c r="J163" i="11"/>
  <c r="N162" i="11"/>
  <c r="M162" i="11"/>
  <c r="L162" i="11"/>
  <c r="K162" i="11"/>
  <c r="J162" i="11"/>
  <c r="N161" i="11"/>
  <c r="M161" i="11"/>
  <c r="L161" i="11"/>
  <c r="K161" i="11"/>
  <c r="J161" i="11"/>
  <c r="N160" i="11"/>
  <c r="M160" i="11"/>
  <c r="L160" i="11"/>
  <c r="K160" i="11"/>
  <c r="J160" i="11"/>
  <c r="N159" i="11"/>
  <c r="M159" i="11"/>
  <c r="L159" i="11"/>
  <c r="K159" i="11"/>
  <c r="J159" i="11"/>
  <c r="N158" i="11"/>
  <c r="M158" i="11"/>
  <c r="L158" i="11"/>
  <c r="K158" i="11"/>
  <c r="J158" i="11"/>
  <c r="N157" i="11"/>
  <c r="M157" i="11"/>
  <c r="L157" i="11"/>
  <c r="K157" i="11"/>
  <c r="J157" i="11"/>
  <c r="N156" i="11"/>
  <c r="M156" i="11"/>
  <c r="L156" i="11"/>
  <c r="K156" i="11"/>
  <c r="J156" i="11"/>
  <c r="N155" i="11"/>
  <c r="M155" i="11"/>
  <c r="L155" i="11"/>
  <c r="K155" i="11"/>
  <c r="J155" i="11"/>
  <c r="N154" i="11"/>
  <c r="M154" i="11"/>
  <c r="L154" i="11"/>
  <c r="K154" i="11"/>
  <c r="J154" i="11"/>
  <c r="N153" i="11"/>
  <c r="M153" i="11"/>
  <c r="L153" i="11"/>
  <c r="K153" i="11"/>
  <c r="J153" i="11"/>
  <c r="N152" i="11"/>
  <c r="M152" i="11"/>
  <c r="L152" i="11"/>
  <c r="K152" i="11"/>
  <c r="J152" i="11"/>
  <c r="N151" i="11"/>
  <c r="M151" i="11"/>
  <c r="L151" i="11"/>
  <c r="K151" i="11"/>
  <c r="J151" i="11"/>
  <c r="N150" i="11"/>
  <c r="M150" i="11"/>
  <c r="L150" i="11"/>
  <c r="K150" i="11"/>
  <c r="J150" i="11"/>
  <c r="N149" i="11"/>
  <c r="M149" i="11"/>
  <c r="L149" i="11"/>
  <c r="K149" i="11"/>
  <c r="J149" i="11"/>
  <c r="N148" i="11"/>
  <c r="M148" i="11"/>
  <c r="L148" i="11"/>
  <c r="K148" i="11"/>
  <c r="J148" i="11"/>
  <c r="N147" i="11"/>
  <c r="M147" i="11"/>
  <c r="L147" i="11"/>
  <c r="K147" i="11"/>
  <c r="J147" i="11"/>
  <c r="N146" i="11"/>
  <c r="M146" i="11"/>
  <c r="L146" i="11"/>
  <c r="K146" i="11"/>
  <c r="J146" i="11"/>
  <c r="N145" i="11"/>
  <c r="M145" i="11"/>
  <c r="L145" i="11"/>
  <c r="K145" i="11"/>
  <c r="J145" i="11"/>
  <c r="N144" i="11"/>
  <c r="M144" i="11"/>
  <c r="L144" i="11"/>
  <c r="K144" i="11"/>
  <c r="J144" i="11"/>
  <c r="N143" i="11"/>
  <c r="M143" i="11"/>
  <c r="L143" i="11"/>
  <c r="K143" i="11"/>
  <c r="J143" i="11"/>
  <c r="N142" i="11"/>
  <c r="M142" i="11"/>
  <c r="L142" i="11"/>
  <c r="K142" i="11"/>
  <c r="J142" i="11"/>
  <c r="N141" i="11"/>
  <c r="M141" i="11"/>
  <c r="L141" i="11"/>
  <c r="K141" i="11"/>
  <c r="J141" i="11"/>
  <c r="N140" i="11"/>
  <c r="M140" i="11"/>
  <c r="L140" i="11"/>
  <c r="K140" i="11"/>
  <c r="J140" i="11"/>
  <c r="N139" i="11"/>
  <c r="M139" i="11"/>
  <c r="L139" i="11"/>
  <c r="K139" i="11"/>
  <c r="J139" i="11"/>
  <c r="N138" i="11"/>
  <c r="M138" i="11"/>
  <c r="L138" i="11"/>
  <c r="K138" i="11"/>
  <c r="J138" i="11"/>
  <c r="N137" i="11"/>
  <c r="M137" i="11"/>
  <c r="L137" i="11"/>
  <c r="K137" i="11"/>
  <c r="J137" i="11"/>
  <c r="N136" i="11"/>
  <c r="M136" i="11"/>
  <c r="L136" i="11"/>
  <c r="K136" i="11"/>
  <c r="J136" i="11"/>
  <c r="N135" i="11"/>
  <c r="M135" i="11"/>
  <c r="L135" i="11"/>
  <c r="K135" i="11"/>
  <c r="J135" i="11"/>
  <c r="N134" i="11"/>
  <c r="M134" i="11"/>
  <c r="L134" i="11"/>
  <c r="K134" i="11"/>
  <c r="J134" i="11"/>
  <c r="N133" i="11"/>
  <c r="M133" i="11"/>
  <c r="L133" i="11"/>
  <c r="K133" i="11"/>
  <c r="J133" i="11"/>
  <c r="N132" i="11"/>
  <c r="M132" i="11"/>
  <c r="L132" i="11"/>
  <c r="K132" i="11"/>
  <c r="J132" i="11"/>
  <c r="N131" i="11"/>
  <c r="M131" i="11"/>
  <c r="L131" i="11"/>
  <c r="K131" i="11"/>
  <c r="J131" i="11"/>
  <c r="N130" i="11"/>
  <c r="M130" i="11"/>
  <c r="L130" i="11"/>
  <c r="K130" i="11"/>
  <c r="J130" i="11"/>
  <c r="N129" i="11"/>
  <c r="M129" i="11"/>
  <c r="L129" i="11"/>
  <c r="K129" i="11"/>
  <c r="J129" i="11"/>
  <c r="N128" i="11"/>
  <c r="M128" i="11"/>
  <c r="L128" i="11"/>
  <c r="K128" i="11"/>
  <c r="J128" i="11"/>
  <c r="N127" i="11"/>
  <c r="M127" i="11"/>
  <c r="L127" i="11"/>
  <c r="K127" i="11"/>
  <c r="J127" i="11"/>
  <c r="N126" i="11"/>
  <c r="M126" i="11"/>
  <c r="L126" i="11"/>
  <c r="K126" i="11"/>
  <c r="J126" i="11"/>
  <c r="N125" i="11"/>
  <c r="M125" i="11"/>
  <c r="L125" i="11"/>
  <c r="K125" i="11"/>
  <c r="J125" i="11"/>
  <c r="N124" i="11"/>
  <c r="M124" i="11"/>
  <c r="L124" i="11"/>
  <c r="K124" i="11"/>
  <c r="J124" i="11"/>
  <c r="N123" i="11"/>
  <c r="M123" i="11"/>
  <c r="L123" i="11"/>
  <c r="K123" i="11"/>
  <c r="J123" i="11"/>
  <c r="N122" i="11"/>
  <c r="M122" i="11"/>
  <c r="L122" i="11"/>
  <c r="K122" i="11"/>
  <c r="J122" i="11"/>
  <c r="N121" i="11"/>
  <c r="M121" i="11"/>
  <c r="L121" i="11"/>
  <c r="K121" i="11"/>
  <c r="J121" i="11"/>
  <c r="N120" i="11"/>
  <c r="M120" i="11"/>
  <c r="L120" i="11"/>
  <c r="K120" i="11"/>
  <c r="J120" i="11"/>
  <c r="N119" i="11"/>
  <c r="M119" i="11"/>
  <c r="L119" i="11"/>
  <c r="K119" i="11"/>
  <c r="J119" i="11"/>
  <c r="N118" i="11"/>
  <c r="M118" i="11"/>
  <c r="L118" i="11"/>
  <c r="K118" i="11"/>
  <c r="J118" i="11"/>
  <c r="N117" i="11"/>
  <c r="M117" i="11"/>
  <c r="L117" i="11"/>
  <c r="K117" i="11"/>
  <c r="J117" i="11"/>
  <c r="N116" i="11"/>
  <c r="M116" i="11"/>
  <c r="L116" i="11"/>
  <c r="K116" i="11"/>
  <c r="J116" i="11"/>
  <c r="N115" i="11"/>
  <c r="M115" i="11"/>
  <c r="L115" i="11"/>
  <c r="K115" i="11"/>
  <c r="J115" i="11"/>
  <c r="N114" i="11"/>
  <c r="M114" i="11"/>
  <c r="L114" i="11"/>
  <c r="K114" i="11"/>
  <c r="J114" i="11"/>
  <c r="N113" i="11"/>
  <c r="M113" i="11"/>
  <c r="L113" i="11"/>
  <c r="K113" i="11"/>
  <c r="J113" i="11"/>
  <c r="N112" i="11"/>
  <c r="M112" i="11"/>
  <c r="L112" i="11"/>
  <c r="K112" i="11"/>
  <c r="J112" i="11"/>
  <c r="N111" i="11"/>
  <c r="M111" i="11"/>
  <c r="L111" i="11"/>
  <c r="K111" i="11"/>
  <c r="J111" i="11"/>
  <c r="N110" i="11"/>
  <c r="M110" i="11"/>
  <c r="L110" i="11"/>
  <c r="K110" i="11"/>
  <c r="J110" i="11"/>
  <c r="N109" i="11"/>
  <c r="M109" i="11"/>
  <c r="L109" i="11"/>
  <c r="K109" i="11"/>
  <c r="J109" i="11"/>
  <c r="N108" i="11"/>
  <c r="M108" i="11"/>
  <c r="L108" i="11"/>
  <c r="K108" i="11"/>
  <c r="J108" i="11"/>
  <c r="N107" i="11"/>
  <c r="M107" i="11"/>
  <c r="L107" i="11"/>
  <c r="K107" i="11"/>
  <c r="J107" i="11"/>
  <c r="N106" i="11"/>
  <c r="M106" i="11"/>
  <c r="L106" i="11"/>
  <c r="K106" i="11"/>
  <c r="J106" i="11"/>
  <c r="N105" i="11"/>
  <c r="M105" i="11"/>
  <c r="L105" i="11"/>
  <c r="K105" i="11"/>
  <c r="J105" i="11"/>
  <c r="N104" i="11"/>
  <c r="M104" i="11"/>
  <c r="L104" i="11"/>
  <c r="K104" i="11"/>
  <c r="J104" i="11"/>
  <c r="N103" i="11"/>
  <c r="M103" i="11"/>
  <c r="L103" i="11"/>
  <c r="K103" i="11"/>
  <c r="J103" i="11"/>
  <c r="N102" i="11"/>
  <c r="M102" i="11"/>
  <c r="L102" i="11"/>
  <c r="K102" i="11"/>
  <c r="J102" i="11"/>
  <c r="N101" i="11"/>
  <c r="M101" i="11"/>
  <c r="L101" i="11"/>
  <c r="K101" i="11"/>
  <c r="J101" i="11"/>
  <c r="N100" i="11"/>
  <c r="M100" i="11"/>
  <c r="L100" i="11"/>
  <c r="K100" i="11"/>
  <c r="J100" i="11"/>
  <c r="N99" i="11"/>
  <c r="M99" i="11"/>
  <c r="L99" i="11"/>
  <c r="K99" i="11"/>
  <c r="J99" i="11"/>
  <c r="N98" i="11"/>
  <c r="M98" i="11"/>
  <c r="L98" i="11"/>
  <c r="K98" i="11"/>
  <c r="J98" i="11"/>
  <c r="N97" i="11"/>
  <c r="M97" i="11"/>
  <c r="L97" i="11"/>
  <c r="K97" i="11"/>
  <c r="J97" i="11"/>
  <c r="N96" i="11"/>
  <c r="M96" i="11"/>
  <c r="L96" i="11"/>
  <c r="K96" i="11"/>
  <c r="J96" i="11"/>
  <c r="N95" i="11"/>
  <c r="M95" i="11"/>
  <c r="L95" i="11"/>
  <c r="K95" i="11"/>
  <c r="J95" i="11"/>
  <c r="N94" i="11"/>
  <c r="M94" i="11"/>
  <c r="L94" i="11"/>
  <c r="K94" i="11"/>
  <c r="J94" i="11"/>
  <c r="N93" i="11"/>
  <c r="M93" i="11"/>
  <c r="L93" i="11"/>
  <c r="K93" i="11"/>
  <c r="J93" i="11"/>
  <c r="N92" i="11"/>
  <c r="M92" i="11"/>
  <c r="L92" i="11"/>
  <c r="K92" i="11"/>
  <c r="J92" i="11"/>
  <c r="N91" i="11"/>
  <c r="M91" i="11"/>
  <c r="L91" i="11"/>
  <c r="K91" i="11"/>
  <c r="J91" i="11"/>
  <c r="N90" i="11"/>
  <c r="M90" i="11"/>
  <c r="L90" i="11"/>
  <c r="K90" i="11"/>
  <c r="J90" i="11"/>
  <c r="N89" i="11"/>
  <c r="M89" i="11"/>
  <c r="L89" i="11"/>
  <c r="K89" i="11"/>
  <c r="J89" i="11"/>
  <c r="N88" i="11"/>
  <c r="M88" i="11"/>
  <c r="L88" i="11"/>
  <c r="K88" i="11"/>
  <c r="J88" i="11"/>
  <c r="N87" i="11"/>
  <c r="M87" i="11"/>
  <c r="L87" i="11"/>
  <c r="K87" i="11"/>
  <c r="J87" i="11"/>
  <c r="N86" i="11"/>
  <c r="M86" i="11"/>
  <c r="L86" i="11"/>
  <c r="K86" i="11"/>
  <c r="J86" i="11"/>
  <c r="N85" i="11"/>
  <c r="M85" i="11"/>
  <c r="L85" i="11"/>
  <c r="K85" i="11"/>
  <c r="J85" i="11"/>
  <c r="N84" i="11"/>
  <c r="M84" i="11"/>
  <c r="L84" i="11"/>
  <c r="K84" i="11"/>
  <c r="J84" i="11"/>
  <c r="N83" i="11"/>
  <c r="M83" i="11"/>
  <c r="L83" i="11"/>
  <c r="K83" i="11"/>
  <c r="J83" i="11"/>
  <c r="N82" i="11"/>
  <c r="M82" i="11"/>
  <c r="L82" i="11"/>
  <c r="K82" i="11"/>
  <c r="J82" i="11"/>
  <c r="N81" i="11"/>
  <c r="M81" i="11"/>
  <c r="L81" i="11"/>
  <c r="K81" i="11"/>
  <c r="J81" i="11"/>
  <c r="N80" i="11"/>
  <c r="M80" i="11"/>
  <c r="L80" i="11"/>
  <c r="K80" i="11"/>
  <c r="J80" i="11"/>
  <c r="N79" i="11"/>
  <c r="M79" i="11"/>
  <c r="L79" i="11"/>
  <c r="K79" i="11"/>
  <c r="J79" i="11"/>
  <c r="N78" i="11"/>
  <c r="M78" i="11"/>
  <c r="L78" i="11"/>
  <c r="K78" i="11"/>
  <c r="J78" i="11"/>
  <c r="N77" i="11"/>
  <c r="M77" i="11"/>
  <c r="L77" i="11"/>
  <c r="K77" i="11"/>
  <c r="J77" i="11"/>
  <c r="N76" i="11"/>
  <c r="M76" i="11"/>
  <c r="L76" i="11"/>
  <c r="K76" i="11"/>
  <c r="J76" i="11"/>
  <c r="N75" i="11"/>
  <c r="M75" i="11"/>
  <c r="L75" i="11"/>
  <c r="K75" i="11"/>
  <c r="J75" i="11"/>
  <c r="N74" i="11"/>
  <c r="M74" i="11"/>
  <c r="L74" i="11"/>
  <c r="K74" i="11"/>
  <c r="J74" i="11"/>
  <c r="N73" i="11"/>
  <c r="M73" i="11"/>
  <c r="L73" i="11"/>
  <c r="K73" i="11"/>
  <c r="J73" i="11"/>
  <c r="N72" i="11"/>
  <c r="M72" i="11"/>
  <c r="L72" i="11"/>
  <c r="K72" i="11"/>
  <c r="J72" i="11"/>
  <c r="N71" i="11"/>
  <c r="M71" i="11"/>
  <c r="L71" i="11"/>
  <c r="K71" i="11"/>
  <c r="J71" i="11"/>
  <c r="N70" i="11"/>
  <c r="M70" i="11"/>
  <c r="L70" i="11"/>
  <c r="K70" i="11"/>
  <c r="J70" i="11"/>
  <c r="N69" i="11"/>
  <c r="M69" i="11"/>
  <c r="L69" i="11"/>
  <c r="K69" i="11"/>
  <c r="J69" i="11"/>
  <c r="N68" i="11"/>
  <c r="M68" i="11"/>
  <c r="L68" i="11"/>
  <c r="K68" i="11"/>
  <c r="J68" i="11"/>
  <c r="N67" i="11"/>
  <c r="M67" i="11"/>
  <c r="L67" i="11"/>
  <c r="K67" i="11"/>
  <c r="J67" i="11"/>
  <c r="N66" i="11"/>
  <c r="M66" i="11"/>
  <c r="L66" i="11"/>
  <c r="K66" i="11"/>
  <c r="J66" i="11"/>
  <c r="N65" i="11"/>
  <c r="M65" i="11"/>
  <c r="L65" i="11"/>
  <c r="K65" i="11"/>
  <c r="J65" i="11"/>
  <c r="N64" i="11"/>
  <c r="M64" i="11"/>
  <c r="L64" i="11"/>
  <c r="K64" i="11"/>
  <c r="J64" i="11"/>
  <c r="N63" i="11"/>
  <c r="M63" i="11"/>
  <c r="L63" i="11"/>
  <c r="K63" i="11"/>
  <c r="J63" i="11"/>
  <c r="N62" i="11"/>
  <c r="M62" i="11"/>
  <c r="L62" i="11"/>
  <c r="K62" i="11"/>
  <c r="J62" i="11"/>
  <c r="N61" i="11"/>
  <c r="M61" i="11"/>
  <c r="L61" i="11"/>
  <c r="K61" i="11"/>
  <c r="J61" i="11"/>
  <c r="N60" i="11"/>
  <c r="M60" i="11"/>
  <c r="L60" i="11"/>
  <c r="K60" i="11"/>
  <c r="J60" i="11"/>
  <c r="N59" i="11"/>
  <c r="M59" i="11"/>
  <c r="L59" i="11"/>
  <c r="K59" i="11"/>
  <c r="J59" i="11"/>
  <c r="N58" i="11"/>
  <c r="M58" i="11"/>
  <c r="L58" i="11"/>
  <c r="K58" i="11"/>
  <c r="J58" i="11"/>
  <c r="N57" i="11"/>
  <c r="M57" i="11"/>
  <c r="L57" i="11"/>
  <c r="K57" i="11"/>
  <c r="J57" i="11"/>
  <c r="N56" i="11"/>
  <c r="M56" i="11"/>
  <c r="L56" i="11"/>
  <c r="K56" i="11"/>
  <c r="J56" i="11"/>
  <c r="N55" i="11"/>
  <c r="M55" i="11"/>
  <c r="L55" i="11"/>
  <c r="K55" i="11"/>
  <c r="J55" i="11"/>
  <c r="N54" i="11"/>
  <c r="M54" i="11"/>
  <c r="L54" i="11"/>
  <c r="K54" i="11"/>
  <c r="J54" i="11"/>
  <c r="N53" i="11"/>
  <c r="M53" i="11"/>
  <c r="L53" i="11"/>
  <c r="K53" i="11"/>
  <c r="J53" i="11"/>
  <c r="N52" i="11"/>
  <c r="M52" i="11"/>
  <c r="L52" i="11"/>
  <c r="K52" i="11"/>
  <c r="J52" i="11"/>
  <c r="N51" i="11"/>
  <c r="M51" i="11"/>
  <c r="L51" i="11"/>
  <c r="K51" i="11"/>
  <c r="J51" i="11"/>
  <c r="N50" i="11"/>
  <c r="M50" i="11"/>
  <c r="L50" i="11"/>
  <c r="K50" i="11"/>
  <c r="J50" i="11"/>
  <c r="N49" i="11"/>
  <c r="M49" i="11"/>
  <c r="L49" i="11"/>
  <c r="K49" i="11"/>
  <c r="J49" i="11"/>
  <c r="N48" i="11"/>
  <c r="M48" i="11"/>
  <c r="L48" i="11"/>
  <c r="K48" i="11"/>
  <c r="J48" i="11"/>
  <c r="N47" i="11"/>
  <c r="M47" i="11"/>
  <c r="L47" i="11"/>
  <c r="K47" i="11"/>
  <c r="J47" i="11"/>
  <c r="N46" i="11"/>
  <c r="M46" i="11"/>
  <c r="L46" i="11"/>
  <c r="K46" i="11"/>
  <c r="J46" i="11"/>
  <c r="N45" i="11"/>
  <c r="M45" i="11"/>
  <c r="L45" i="11"/>
  <c r="K45" i="11"/>
  <c r="J45" i="11"/>
  <c r="N44" i="11"/>
  <c r="M44" i="11"/>
  <c r="L44" i="11"/>
  <c r="K44" i="11"/>
  <c r="J44" i="11"/>
  <c r="N43" i="11"/>
  <c r="M43" i="11"/>
  <c r="L43" i="11"/>
  <c r="K43" i="11"/>
  <c r="J43" i="11"/>
  <c r="N42" i="11"/>
  <c r="M42" i="11"/>
  <c r="L42" i="11"/>
  <c r="K42" i="11"/>
  <c r="J42" i="11"/>
  <c r="N41" i="11"/>
  <c r="M41" i="11"/>
  <c r="L41" i="11"/>
  <c r="K41" i="11"/>
  <c r="J41" i="11"/>
  <c r="N40" i="11"/>
  <c r="M40" i="11"/>
  <c r="L40" i="11"/>
  <c r="K40" i="11"/>
  <c r="J40" i="11"/>
  <c r="N39" i="11"/>
  <c r="M39" i="11"/>
  <c r="L39" i="11"/>
  <c r="K39" i="11"/>
  <c r="J39" i="11"/>
  <c r="N38" i="11"/>
  <c r="M38" i="11"/>
  <c r="L38" i="11"/>
  <c r="K38" i="11"/>
  <c r="J38" i="11"/>
  <c r="N37" i="11"/>
  <c r="M37" i="11"/>
  <c r="L37" i="11"/>
  <c r="K37" i="11"/>
  <c r="J37" i="11"/>
  <c r="N36" i="11"/>
  <c r="M36" i="11"/>
  <c r="L36" i="11"/>
  <c r="K36" i="11"/>
  <c r="J36" i="11"/>
  <c r="N35" i="11"/>
  <c r="M35" i="11"/>
  <c r="L35" i="11"/>
  <c r="K35" i="11"/>
  <c r="J35" i="11"/>
  <c r="N34" i="11"/>
  <c r="M34" i="11"/>
  <c r="L34" i="11"/>
  <c r="K34" i="11"/>
  <c r="J34" i="11"/>
  <c r="N33" i="11"/>
  <c r="M33" i="11"/>
  <c r="L33" i="11"/>
  <c r="K33" i="11"/>
  <c r="J33" i="11"/>
  <c r="N32" i="11"/>
  <c r="M32" i="11"/>
  <c r="L32" i="11"/>
  <c r="K32" i="11"/>
  <c r="J32" i="11"/>
  <c r="N31" i="11"/>
  <c r="M31" i="11"/>
  <c r="L31" i="11"/>
  <c r="K31" i="11"/>
  <c r="J31" i="11"/>
  <c r="N30" i="11"/>
  <c r="M30" i="11"/>
  <c r="L30" i="11"/>
  <c r="K30" i="11"/>
  <c r="J30" i="11"/>
  <c r="N29" i="11"/>
  <c r="M29" i="11"/>
  <c r="L29" i="11"/>
  <c r="K29" i="11"/>
  <c r="J29" i="11"/>
  <c r="N28" i="11"/>
  <c r="M28" i="11"/>
  <c r="L28" i="11"/>
  <c r="K28" i="11"/>
  <c r="J28" i="11"/>
  <c r="N27" i="11"/>
  <c r="M27" i="11"/>
  <c r="L27" i="11"/>
  <c r="K27" i="11"/>
  <c r="J27" i="11"/>
  <c r="N26" i="11"/>
  <c r="M26" i="11"/>
  <c r="L26" i="11"/>
  <c r="K26" i="11"/>
  <c r="J26" i="11"/>
  <c r="N25" i="11"/>
  <c r="M25" i="11"/>
  <c r="L25" i="11"/>
  <c r="K25" i="11"/>
  <c r="J25" i="11"/>
  <c r="N24" i="11"/>
  <c r="M24" i="11"/>
  <c r="L24" i="11"/>
  <c r="K24" i="11"/>
  <c r="J24" i="11"/>
  <c r="N23" i="11"/>
  <c r="M23" i="11"/>
  <c r="L23" i="11"/>
  <c r="K23" i="11"/>
  <c r="J23" i="11"/>
  <c r="N22" i="11"/>
  <c r="M22" i="11"/>
  <c r="L22" i="11"/>
  <c r="K22" i="11"/>
  <c r="J22" i="11"/>
  <c r="N21" i="11"/>
  <c r="M21" i="11"/>
  <c r="L21" i="11"/>
  <c r="K21" i="11"/>
  <c r="J21" i="11"/>
  <c r="N20" i="11"/>
  <c r="M20" i="11"/>
  <c r="L20" i="11"/>
  <c r="K20" i="11"/>
  <c r="J20" i="11"/>
  <c r="N19" i="11"/>
  <c r="M19" i="11"/>
  <c r="L19" i="11"/>
  <c r="K19" i="11"/>
  <c r="J19" i="11"/>
  <c r="N18" i="11"/>
  <c r="M18" i="11"/>
  <c r="L18" i="11"/>
  <c r="K18" i="11"/>
  <c r="J18" i="11"/>
  <c r="N17" i="11"/>
  <c r="M17" i="11"/>
  <c r="L17" i="11"/>
  <c r="K17" i="11"/>
  <c r="J17" i="11"/>
  <c r="N16" i="11"/>
  <c r="M16" i="11"/>
  <c r="L16" i="11"/>
  <c r="K16" i="11"/>
  <c r="J16" i="11"/>
  <c r="N15" i="11"/>
  <c r="M15" i="11"/>
  <c r="L15" i="11"/>
  <c r="K15" i="11"/>
  <c r="J15" i="11"/>
  <c r="N14" i="11"/>
  <c r="M14" i="11"/>
  <c r="L14" i="11"/>
  <c r="K14" i="11"/>
  <c r="J14" i="11"/>
  <c r="N13" i="11"/>
  <c r="M13" i="11"/>
  <c r="L13" i="11"/>
  <c r="K13" i="11"/>
  <c r="J13" i="11"/>
  <c r="N12" i="11"/>
  <c r="M12" i="11"/>
  <c r="L12" i="11"/>
  <c r="K12" i="11"/>
  <c r="J12" i="11"/>
  <c r="N11" i="11"/>
  <c r="M11" i="11"/>
  <c r="L11" i="11"/>
  <c r="K11" i="11"/>
  <c r="J11" i="11"/>
  <c r="N10" i="11"/>
  <c r="M10" i="11"/>
  <c r="L10" i="11"/>
  <c r="K10" i="11"/>
  <c r="J10" i="11"/>
  <c r="N9" i="11"/>
  <c r="M9" i="11"/>
  <c r="L9" i="11"/>
  <c r="K9" i="11"/>
  <c r="J9" i="11"/>
  <c r="N8" i="11"/>
  <c r="M8" i="11"/>
  <c r="L8" i="11"/>
  <c r="K8" i="11"/>
  <c r="J8" i="11"/>
  <c r="N7" i="11"/>
  <c r="M7" i="11"/>
  <c r="L7" i="11"/>
  <c r="K7" i="11"/>
  <c r="J7" i="11"/>
  <c r="N6" i="11"/>
  <c r="M6" i="11"/>
  <c r="L6" i="11"/>
  <c r="K6" i="11"/>
  <c r="J6" i="11"/>
  <c r="N5" i="11"/>
  <c r="M5" i="11"/>
  <c r="L5" i="11"/>
  <c r="K5" i="11"/>
  <c r="J5" i="11"/>
  <c r="N4" i="11"/>
  <c r="M4" i="11"/>
  <c r="L4" i="11"/>
  <c r="K4" i="11"/>
  <c r="J4" i="11"/>
  <c r="N3" i="11"/>
  <c r="M3" i="11"/>
  <c r="L3" i="11"/>
  <c r="K3" i="11"/>
  <c r="J3" i="11"/>
  <c r="N2" i="11"/>
  <c r="M2" i="11"/>
  <c r="L2" i="11"/>
  <c r="K2" i="11"/>
  <c r="J2" i="11"/>
  <c r="N2" i="1"/>
  <c r="N978" i="1"/>
  <c r="N979" i="1"/>
  <c r="N980" i="1"/>
  <c r="N981" i="1"/>
  <c r="N982" i="1"/>
  <c r="N983" i="1"/>
  <c r="N984" i="1"/>
  <c r="N985" i="1"/>
  <c r="N986" i="1"/>
  <c r="N987" i="1"/>
  <c r="N988" i="1"/>
  <c r="N989" i="1"/>
  <c r="N990" i="1"/>
  <c r="N991" i="1"/>
  <c r="N992" i="1"/>
  <c r="N993" i="1"/>
  <c r="N994" i="1"/>
  <c r="N995" i="1"/>
  <c r="N996" i="1"/>
  <c r="N997" i="1"/>
  <c r="N998" i="1"/>
  <c r="N999" i="1"/>
  <c r="N1000" i="1"/>
  <c r="N1001" i="1"/>
  <c r="N954" i="1"/>
  <c r="N955" i="1"/>
  <c r="N956" i="1"/>
  <c r="N957" i="1"/>
  <c r="N958" i="1"/>
  <c r="N959" i="1"/>
  <c r="N960" i="1"/>
  <c r="N961" i="1"/>
  <c r="N962" i="1"/>
  <c r="N963" i="1"/>
  <c r="N964" i="1"/>
  <c r="N965" i="1"/>
  <c r="N966" i="1"/>
  <c r="N967" i="1"/>
  <c r="N968" i="1"/>
  <c r="N969" i="1"/>
  <c r="N970" i="1"/>
  <c r="N971" i="1"/>
  <c r="N972" i="1"/>
  <c r="N973" i="1"/>
  <c r="N974" i="1"/>
  <c r="N975" i="1"/>
  <c r="N976" i="1"/>
  <c r="N977" i="1"/>
  <c r="N930" i="1"/>
  <c r="N931" i="1"/>
  <c r="N932" i="1"/>
  <c r="N933" i="1"/>
  <c r="N934" i="1"/>
  <c r="N935" i="1"/>
  <c r="N936" i="1"/>
  <c r="N937" i="1"/>
  <c r="N938" i="1"/>
  <c r="N939" i="1"/>
  <c r="N940" i="1"/>
  <c r="N941" i="1"/>
  <c r="N942" i="1"/>
  <c r="N943" i="1"/>
  <c r="N944" i="1"/>
  <c r="N945" i="1"/>
  <c r="N946" i="1"/>
  <c r="N947" i="1"/>
  <c r="N948" i="1"/>
  <c r="N949" i="1"/>
  <c r="N950" i="1"/>
  <c r="N951" i="1"/>
  <c r="N952" i="1"/>
  <c r="N953" i="1"/>
  <c r="N906" i="1"/>
  <c r="N907" i="1"/>
  <c r="N908" i="1"/>
  <c r="N909" i="1"/>
  <c r="N910" i="1"/>
  <c r="N911" i="1"/>
  <c r="N912" i="1"/>
  <c r="N913" i="1"/>
  <c r="N914" i="1"/>
  <c r="N915" i="1"/>
  <c r="N916" i="1"/>
  <c r="N917" i="1"/>
  <c r="N918" i="1"/>
  <c r="N919" i="1"/>
  <c r="N920" i="1"/>
  <c r="N921" i="1"/>
  <c r="N922" i="1"/>
  <c r="N923" i="1"/>
  <c r="N924" i="1"/>
  <c r="N925" i="1"/>
  <c r="N926" i="1"/>
  <c r="N927" i="1"/>
  <c r="N928" i="1"/>
  <c r="N929" i="1"/>
  <c r="N882" i="1"/>
  <c r="N883" i="1"/>
  <c r="N884" i="1"/>
  <c r="N885" i="1"/>
  <c r="N886" i="1"/>
  <c r="N887" i="1"/>
  <c r="N888" i="1"/>
  <c r="N889" i="1"/>
  <c r="N890" i="1"/>
  <c r="N891" i="1"/>
  <c r="N892" i="1"/>
  <c r="N893" i="1"/>
  <c r="N894" i="1"/>
  <c r="N895" i="1"/>
  <c r="N896" i="1"/>
  <c r="N897" i="1"/>
  <c r="N898" i="1"/>
  <c r="N899" i="1"/>
  <c r="N900" i="1"/>
  <c r="N901" i="1"/>
  <c r="N902" i="1"/>
  <c r="N903" i="1"/>
  <c r="N904" i="1"/>
  <c r="N905" i="1"/>
  <c r="N858" i="1"/>
  <c r="N859" i="1"/>
  <c r="N860" i="1"/>
  <c r="N861" i="1"/>
  <c r="N862" i="1"/>
  <c r="N863" i="1"/>
  <c r="N864" i="1"/>
  <c r="N865" i="1"/>
  <c r="N866" i="1"/>
  <c r="N867" i="1"/>
  <c r="N868" i="1"/>
  <c r="N869" i="1"/>
  <c r="N870" i="1"/>
  <c r="N871" i="1"/>
  <c r="N872" i="1"/>
  <c r="N873" i="1"/>
  <c r="N874" i="1"/>
  <c r="N875" i="1"/>
  <c r="N876" i="1"/>
  <c r="N877" i="1"/>
  <c r="N878" i="1"/>
  <c r="N879" i="1"/>
  <c r="N880" i="1"/>
  <c r="N881" i="1"/>
  <c r="N834" i="1"/>
  <c r="N835" i="1"/>
  <c r="N836" i="1"/>
  <c r="N837" i="1"/>
  <c r="N838" i="1"/>
  <c r="N839" i="1"/>
  <c r="N840" i="1"/>
  <c r="N841" i="1"/>
  <c r="N842" i="1"/>
  <c r="N843" i="1"/>
  <c r="N844" i="1"/>
  <c r="N845" i="1"/>
  <c r="N846" i="1"/>
  <c r="N847" i="1"/>
  <c r="N848" i="1"/>
  <c r="N849" i="1"/>
  <c r="N850" i="1"/>
  <c r="N851" i="1"/>
  <c r="N852" i="1"/>
  <c r="N853" i="1"/>
  <c r="N854" i="1"/>
  <c r="N855" i="1"/>
  <c r="N856" i="1"/>
  <c r="N857" i="1"/>
  <c r="N810" i="1"/>
  <c r="N811" i="1"/>
  <c r="N812" i="1"/>
  <c r="N813" i="1"/>
  <c r="N814" i="1"/>
  <c r="N815" i="1"/>
  <c r="N816" i="1"/>
  <c r="N817" i="1"/>
  <c r="N818" i="1"/>
  <c r="N819" i="1"/>
  <c r="N820" i="1"/>
  <c r="N821" i="1"/>
  <c r="N822" i="1"/>
  <c r="N823" i="1"/>
  <c r="N824" i="1"/>
  <c r="N825" i="1"/>
  <c r="N826" i="1"/>
  <c r="N827" i="1"/>
  <c r="N828" i="1"/>
  <c r="N829" i="1"/>
  <c r="N830" i="1"/>
  <c r="N831" i="1"/>
  <c r="N832" i="1"/>
  <c r="N833" i="1"/>
  <c r="N786" i="1"/>
  <c r="N787" i="1"/>
  <c r="N788" i="1"/>
  <c r="N789" i="1"/>
  <c r="N790" i="1"/>
  <c r="N791" i="1"/>
  <c r="N792" i="1"/>
  <c r="N793" i="1"/>
  <c r="N794" i="1"/>
  <c r="N795" i="1"/>
  <c r="N796" i="1"/>
  <c r="N797" i="1"/>
  <c r="N798" i="1"/>
  <c r="N799" i="1"/>
  <c r="N800" i="1"/>
  <c r="N801" i="1"/>
  <c r="N802" i="1"/>
  <c r="N803" i="1"/>
  <c r="N804" i="1"/>
  <c r="N805" i="1"/>
  <c r="N806" i="1"/>
  <c r="N807" i="1"/>
  <c r="N808" i="1"/>
  <c r="N809" i="1"/>
  <c r="N762" i="1"/>
  <c r="N763" i="1"/>
  <c r="N764" i="1"/>
  <c r="N765" i="1"/>
  <c r="N766" i="1"/>
  <c r="N767" i="1"/>
  <c r="N768" i="1"/>
  <c r="N769" i="1"/>
  <c r="N770" i="1"/>
  <c r="N771" i="1"/>
  <c r="N772" i="1"/>
  <c r="N773" i="1"/>
  <c r="N774" i="1"/>
  <c r="N775" i="1"/>
  <c r="N776" i="1"/>
  <c r="N777" i="1"/>
  <c r="N778" i="1"/>
  <c r="N779" i="1"/>
  <c r="N780" i="1"/>
  <c r="N781" i="1"/>
  <c r="N782" i="1"/>
  <c r="N783" i="1"/>
  <c r="N784" i="1"/>
  <c r="N785" i="1"/>
  <c r="N738" i="1"/>
  <c r="N739" i="1"/>
  <c r="N740" i="1"/>
  <c r="N741" i="1"/>
  <c r="N742" i="1"/>
  <c r="N743" i="1"/>
  <c r="N744" i="1"/>
  <c r="N745" i="1"/>
  <c r="N746" i="1"/>
  <c r="N747" i="1"/>
  <c r="N748" i="1"/>
  <c r="N749" i="1"/>
  <c r="N750" i="1"/>
  <c r="N751" i="1"/>
  <c r="N752" i="1"/>
  <c r="N753" i="1"/>
  <c r="N754" i="1"/>
  <c r="N755" i="1"/>
  <c r="N756" i="1"/>
  <c r="N757" i="1"/>
  <c r="N758" i="1"/>
  <c r="N759" i="1"/>
  <c r="N760" i="1"/>
  <c r="N761" i="1"/>
  <c r="N714" i="1"/>
  <c r="N715" i="1"/>
  <c r="N716" i="1"/>
  <c r="N717" i="1"/>
  <c r="N718" i="1"/>
  <c r="N719" i="1"/>
  <c r="N720" i="1"/>
  <c r="N721" i="1"/>
  <c r="N722" i="1"/>
  <c r="N723" i="1"/>
  <c r="N724" i="1"/>
  <c r="N725" i="1"/>
  <c r="N726" i="1"/>
  <c r="N727" i="1"/>
  <c r="N728" i="1"/>
  <c r="N729" i="1"/>
  <c r="N730" i="1"/>
  <c r="N731" i="1"/>
  <c r="N732" i="1"/>
  <c r="N733" i="1"/>
  <c r="N734" i="1"/>
  <c r="N735" i="1"/>
  <c r="N736" i="1"/>
  <c r="N737" i="1"/>
  <c r="N690" i="1"/>
  <c r="N691" i="1"/>
  <c r="N692" i="1"/>
  <c r="N693" i="1"/>
  <c r="N694" i="1"/>
  <c r="N695" i="1"/>
  <c r="N696" i="1"/>
  <c r="N697" i="1"/>
  <c r="N698" i="1"/>
  <c r="N699" i="1"/>
  <c r="N700" i="1"/>
  <c r="N701" i="1"/>
  <c r="N702" i="1"/>
  <c r="N703" i="1"/>
  <c r="N704" i="1"/>
  <c r="N705" i="1"/>
  <c r="N706" i="1"/>
  <c r="N707" i="1"/>
  <c r="N708" i="1"/>
  <c r="N709" i="1"/>
  <c r="N710" i="1"/>
  <c r="N711" i="1"/>
  <c r="N712" i="1"/>
  <c r="N713" i="1"/>
  <c r="N666" i="1"/>
  <c r="N667" i="1"/>
  <c r="N668" i="1"/>
  <c r="N669" i="1"/>
  <c r="N670" i="1"/>
  <c r="N671" i="1"/>
  <c r="N672" i="1"/>
  <c r="N673" i="1"/>
  <c r="N674" i="1"/>
  <c r="N675" i="1"/>
  <c r="N676" i="1"/>
  <c r="N677" i="1"/>
  <c r="N678" i="1"/>
  <c r="N679" i="1"/>
  <c r="N680" i="1"/>
  <c r="N681" i="1"/>
  <c r="N682" i="1"/>
  <c r="N683" i="1"/>
  <c r="N684" i="1"/>
  <c r="N685" i="1"/>
  <c r="N686" i="1"/>
  <c r="N687" i="1"/>
  <c r="N688" i="1"/>
  <c r="N689" i="1"/>
  <c r="N642" i="1"/>
  <c r="N643" i="1"/>
  <c r="N644" i="1"/>
  <c r="N645" i="1"/>
  <c r="N646" i="1"/>
  <c r="N647" i="1"/>
  <c r="N648" i="1"/>
  <c r="N649" i="1"/>
  <c r="N650" i="1"/>
  <c r="N651" i="1"/>
  <c r="N652" i="1"/>
  <c r="N653" i="1"/>
  <c r="N654" i="1"/>
  <c r="N655" i="1"/>
  <c r="N656" i="1"/>
  <c r="N657" i="1"/>
  <c r="N658" i="1"/>
  <c r="N659" i="1"/>
  <c r="N660" i="1"/>
  <c r="N661" i="1"/>
  <c r="N662" i="1"/>
  <c r="N663" i="1"/>
  <c r="N664" i="1"/>
  <c r="N665" i="1"/>
  <c r="N618" i="1"/>
  <c r="N619" i="1"/>
  <c r="N620" i="1"/>
  <c r="N621" i="1"/>
  <c r="N622" i="1"/>
  <c r="N623" i="1"/>
  <c r="N624" i="1"/>
  <c r="N625" i="1"/>
  <c r="N626" i="1"/>
  <c r="N627" i="1"/>
  <c r="N628" i="1"/>
  <c r="N629" i="1"/>
  <c r="N630" i="1"/>
  <c r="N631" i="1"/>
  <c r="N632" i="1"/>
  <c r="N633" i="1"/>
  <c r="N634" i="1"/>
  <c r="N635" i="1"/>
  <c r="N636" i="1"/>
  <c r="N637" i="1"/>
  <c r="N638" i="1"/>
  <c r="N639" i="1"/>
  <c r="N640" i="1"/>
  <c r="N641" i="1"/>
  <c r="N594" i="1"/>
  <c r="N595" i="1"/>
  <c r="N596" i="1"/>
  <c r="N597" i="1"/>
  <c r="N598" i="1"/>
  <c r="N599" i="1"/>
  <c r="N600" i="1"/>
  <c r="N601" i="1"/>
  <c r="N602" i="1"/>
  <c r="N603" i="1"/>
  <c r="N604" i="1"/>
  <c r="N605" i="1"/>
  <c r="N606" i="1"/>
  <c r="N607" i="1"/>
  <c r="N608" i="1"/>
  <c r="N609" i="1"/>
  <c r="N610" i="1"/>
  <c r="N611" i="1"/>
  <c r="N612" i="1"/>
  <c r="N613" i="1"/>
  <c r="N614" i="1"/>
  <c r="N615" i="1"/>
  <c r="N616" i="1"/>
  <c r="N617" i="1"/>
  <c r="N570" i="1"/>
  <c r="N571" i="1"/>
  <c r="N572" i="1"/>
  <c r="N573" i="1"/>
  <c r="N574" i="1"/>
  <c r="N575" i="1"/>
  <c r="N576" i="1"/>
  <c r="N577" i="1"/>
  <c r="N578" i="1"/>
  <c r="N579" i="1"/>
  <c r="N580" i="1"/>
  <c r="N581" i="1"/>
  <c r="N582" i="1"/>
  <c r="N583" i="1"/>
  <c r="N584" i="1"/>
  <c r="N585" i="1"/>
  <c r="N586" i="1"/>
  <c r="N587" i="1"/>
  <c r="N588" i="1"/>
  <c r="N589" i="1"/>
  <c r="N590" i="1"/>
  <c r="N591" i="1"/>
  <c r="N592" i="1"/>
  <c r="N593" i="1"/>
  <c r="N546" i="1"/>
  <c r="N547" i="1"/>
  <c r="N548" i="1"/>
  <c r="N549" i="1"/>
  <c r="N550" i="1"/>
  <c r="N551" i="1"/>
  <c r="N552" i="1"/>
  <c r="N553" i="1"/>
  <c r="N554" i="1"/>
  <c r="N555" i="1"/>
  <c r="N556" i="1"/>
  <c r="N557" i="1"/>
  <c r="N558" i="1"/>
  <c r="N559" i="1"/>
  <c r="N560" i="1"/>
  <c r="N561" i="1"/>
  <c r="N562" i="1"/>
  <c r="N563" i="1"/>
  <c r="N564" i="1"/>
  <c r="N565" i="1"/>
  <c r="N566" i="1"/>
  <c r="N567" i="1"/>
  <c r="N568" i="1"/>
  <c r="N569" i="1"/>
  <c r="N522" i="1"/>
  <c r="N523" i="1"/>
  <c r="N524" i="1"/>
  <c r="N525" i="1"/>
  <c r="N526" i="1"/>
  <c r="N527" i="1"/>
  <c r="N528" i="1"/>
  <c r="N529" i="1"/>
  <c r="N530" i="1"/>
  <c r="N531" i="1"/>
  <c r="N532" i="1"/>
  <c r="N533" i="1"/>
  <c r="N534" i="1"/>
  <c r="N535" i="1"/>
  <c r="N536" i="1"/>
  <c r="N537" i="1"/>
  <c r="N538" i="1"/>
  <c r="N539" i="1"/>
  <c r="N540" i="1"/>
  <c r="N541" i="1"/>
  <c r="N542" i="1"/>
  <c r="N543" i="1"/>
  <c r="N544" i="1"/>
  <c r="N545" i="1"/>
  <c r="N498" i="1"/>
  <c r="N499" i="1"/>
  <c r="N500" i="1"/>
  <c r="N501" i="1"/>
  <c r="N502" i="1"/>
  <c r="N503" i="1"/>
  <c r="N504" i="1"/>
  <c r="N505" i="1"/>
  <c r="N506" i="1"/>
  <c r="N507" i="1"/>
  <c r="N508" i="1"/>
  <c r="N509" i="1"/>
  <c r="N510" i="1"/>
  <c r="N511" i="1"/>
  <c r="N512" i="1"/>
  <c r="N513" i="1"/>
  <c r="N514" i="1"/>
  <c r="N515" i="1"/>
  <c r="N516" i="1"/>
  <c r="N517" i="1"/>
  <c r="N518" i="1"/>
  <c r="N519" i="1"/>
  <c r="N520" i="1"/>
  <c r="N521" i="1"/>
  <c r="N474" i="1"/>
  <c r="N475" i="1"/>
  <c r="N476" i="1"/>
  <c r="N477" i="1"/>
  <c r="N478" i="1"/>
  <c r="N479" i="1"/>
  <c r="N480" i="1"/>
  <c r="N481" i="1"/>
  <c r="N482" i="1"/>
  <c r="N483" i="1"/>
  <c r="N484" i="1"/>
  <c r="N485" i="1"/>
  <c r="N486" i="1"/>
  <c r="N487" i="1"/>
  <c r="N488" i="1"/>
  <c r="N489" i="1"/>
  <c r="N490" i="1"/>
  <c r="N491" i="1"/>
  <c r="N492" i="1"/>
  <c r="N493" i="1"/>
  <c r="N494" i="1"/>
  <c r="N495" i="1"/>
  <c r="N496" i="1"/>
  <c r="N497" i="1"/>
  <c r="N450" i="1"/>
  <c r="N451" i="1"/>
  <c r="N452" i="1"/>
  <c r="N453" i="1"/>
  <c r="N454" i="1"/>
  <c r="N455" i="1"/>
  <c r="N456" i="1"/>
  <c r="N457" i="1"/>
  <c r="N458" i="1"/>
  <c r="N459" i="1"/>
  <c r="N460" i="1"/>
  <c r="N461" i="1"/>
  <c r="N462" i="1"/>
  <c r="N463" i="1"/>
  <c r="N464" i="1"/>
  <c r="N465" i="1"/>
  <c r="N466" i="1"/>
  <c r="N467" i="1"/>
  <c r="N468" i="1"/>
  <c r="N469" i="1"/>
  <c r="N470" i="1"/>
  <c r="N471" i="1"/>
  <c r="N472" i="1"/>
  <c r="N473" i="1"/>
  <c r="N426" i="1"/>
  <c r="N427" i="1"/>
  <c r="N428" i="1"/>
  <c r="N429" i="1"/>
  <c r="N430" i="1"/>
  <c r="N431" i="1"/>
  <c r="N432" i="1"/>
  <c r="N433" i="1"/>
  <c r="N434" i="1"/>
  <c r="N435" i="1"/>
  <c r="N436" i="1"/>
  <c r="N437" i="1"/>
  <c r="N438" i="1"/>
  <c r="N439" i="1"/>
  <c r="N440" i="1"/>
  <c r="N441" i="1"/>
  <c r="N442" i="1"/>
  <c r="N443" i="1"/>
  <c r="N444" i="1"/>
  <c r="N445" i="1"/>
  <c r="N446" i="1"/>
  <c r="N447" i="1"/>
  <c r="N448" i="1"/>
  <c r="N449" i="1"/>
  <c r="N402" i="1"/>
  <c r="N403" i="1"/>
  <c r="N404" i="1"/>
  <c r="N405" i="1"/>
  <c r="N406" i="1"/>
  <c r="N407" i="1"/>
  <c r="N408" i="1"/>
  <c r="N409" i="1"/>
  <c r="N410" i="1"/>
  <c r="N411" i="1"/>
  <c r="N412" i="1"/>
  <c r="N413" i="1"/>
  <c r="N414" i="1"/>
  <c r="N415" i="1"/>
  <c r="N416" i="1"/>
  <c r="N417" i="1"/>
  <c r="N418" i="1"/>
  <c r="N419" i="1"/>
  <c r="N420" i="1"/>
  <c r="N421" i="1"/>
  <c r="N422" i="1"/>
  <c r="N423" i="1"/>
  <c r="N424" i="1"/>
  <c r="N425" i="1"/>
  <c r="N378" i="1"/>
  <c r="N379" i="1"/>
  <c r="N380" i="1"/>
  <c r="N381" i="1"/>
  <c r="N382" i="1"/>
  <c r="N383" i="1"/>
  <c r="N384" i="1"/>
  <c r="N385" i="1"/>
  <c r="N386" i="1"/>
  <c r="N387" i="1"/>
  <c r="N388" i="1"/>
  <c r="N389" i="1"/>
  <c r="N390" i="1"/>
  <c r="N391" i="1"/>
  <c r="N392" i="1"/>
  <c r="N393" i="1"/>
  <c r="N394" i="1"/>
  <c r="N395" i="1"/>
  <c r="N396" i="1"/>
  <c r="N397" i="1"/>
  <c r="N398" i="1"/>
  <c r="N399" i="1"/>
  <c r="N400" i="1"/>
  <c r="N401" i="1"/>
  <c r="N354" i="1"/>
  <c r="N355" i="1"/>
  <c r="N356" i="1"/>
  <c r="N357" i="1"/>
  <c r="N358" i="1"/>
  <c r="N359" i="1"/>
  <c r="N360" i="1"/>
  <c r="N361" i="1"/>
  <c r="N362" i="1"/>
  <c r="N363" i="1"/>
  <c r="N364" i="1"/>
  <c r="N365" i="1"/>
  <c r="N366" i="1"/>
  <c r="N367" i="1"/>
  <c r="N368" i="1"/>
  <c r="N369" i="1"/>
  <c r="N370" i="1"/>
  <c r="N371" i="1"/>
  <c r="N372" i="1"/>
  <c r="N373" i="1"/>
  <c r="N374" i="1"/>
  <c r="N375" i="1"/>
  <c r="N376" i="1"/>
  <c r="N377" i="1"/>
  <c r="N330" i="1"/>
  <c r="N331" i="1"/>
  <c r="N332" i="1"/>
  <c r="N333" i="1"/>
  <c r="N334" i="1"/>
  <c r="N335" i="1"/>
  <c r="N336" i="1"/>
  <c r="N337" i="1"/>
  <c r="N338" i="1"/>
  <c r="N339" i="1"/>
  <c r="N340" i="1"/>
  <c r="N341" i="1"/>
  <c r="N342" i="1"/>
  <c r="N343" i="1"/>
  <c r="N344" i="1"/>
  <c r="N345" i="1"/>
  <c r="N346" i="1"/>
  <c r="N347" i="1"/>
  <c r="N348" i="1"/>
  <c r="N349" i="1"/>
  <c r="N350" i="1"/>
  <c r="N351" i="1"/>
  <c r="N352" i="1"/>
  <c r="N353" i="1"/>
  <c r="N306" i="1"/>
  <c r="N307" i="1"/>
  <c r="N308" i="1"/>
  <c r="N309" i="1"/>
  <c r="N310" i="1"/>
  <c r="N311" i="1"/>
  <c r="N312" i="1"/>
  <c r="N313" i="1"/>
  <c r="N314" i="1"/>
  <c r="N315" i="1"/>
  <c r="N316" i="1"/>
  <c r="N317" i="1"/>
  <c r="N318" i="1"/>
  <c r="N319" i="1"/>
  <c r="N320" i="1"/>
  <c r="N321" i="1"/>
  <c r="N322" i="1"/>
  <c r="N323" i="1"/>
  <c r="N324" i="1"/>
  <c r="N325" i="1"/>
  <c r="N326" i="1"/>
  <c r="N327" i="1"/>
  <c r="N328" i="1"/>
  <c r="N329" i="1"/>
  <c r="N282" i="1"/>
  <c r="N283" i="1"/>
  <c r="N284" i="1"/>
  <c r="N285" i="1"/>
  <c r="N286" i="1"/>
  <c r="N287" i="1"/>
  <c r="N288" i="1"/>
  <c r="N289" i="1"/>
  <c r="N290" i="1"/>
  <c r="N291" i="1"/>
  <c r="N292" i="1"/>
  <c r="N293" i="1"/>
  <c r="N294" i="1"/>
  <c r="N295" i="1"/>
  <c r="N296" i="1"/>
  <c r="N297" i="1"/>
  <c r="N298" i="1"/>
  <c r="N299" i="1"/>
  <c r="N300" i="1"/>
  <c r="N301" i="1"/>
  <c r="N302" i="1"/>
  <c r="N303" i="1"/>
  <c r="N304" i="1"/>
  <c r="N305" i="1"/>
  <c r="N258" i="1"/>
  <c r="N259" i="1"/>
  <c r="N260" i="1"/>
  <c r="N261" i="1"/>
  <c r="N262" i="1"/>
  <c r="N263" i="1"/>
  <c r="N264" i="1"/>
  <c r="N265" i="1"/>
  <c r="N266" i="1"/>
  <c r="N267" i="1"/>
  <c r="N268" i="1"/>
  <c r="N269" i="1"/>
  <c r="N270" i="1"/>
  <c r="N271" i="1"/>
  <c r="N272" i="1"/>
  <c r="N273" i="1"/>
  <c r="N274" i="1"/>
  <c r="N275" i="1"/>
  <c r="N276" i="1"/>
  <c r="N277" i="1"/>
  <c r="N278" i="1"/>
  <c r="N279" i="1"/>
  <c r="N280" i="1"/>
  <c r="N281" i="1"/>
  <c r="N234" i="1"/>
  <c r="N235" i="1"/>
  <c r="N236" i="1"/>
  <c r="N237" i="1"/>
  <c r="N238" i="1"/>
  <c r="N239" i="1"/>
  <c r="N240" i="1"/>
  <c r="N241" i="1"/>
  <c r="N242" i="1"/>
  <c r="N243" i="1"/>
  <c r="N244" i="1"/>
  <c r="N245" i="1"/>
  <c r="N246" i="1"/>
  <c r="N247" i="1"/>
  <c r="N248" i="1"/>
  <c r="N249" i="1"/>
  <c r="N250" i="1"/>
  <c r="N251" i="1"/>
  <c r="N252" i="1"/>
  <c r="N253" i="1"/>
  <c r="N254" i="1"/>
  <c r="N255" i="1"/>
  <c r="N256" i="1"/>
  <c r="N257" i="1"/>
  <c r="N210" i="1"/>
  <c r="N211" i="1"/>
  <c r="N212" i="1"/>
  <c r="N213" i="1"/>
  <c r="N214" i="1"/>
  <c r="N215" i="1"/>
  <c r="N216" i="1"/>
  <c r="N217" i="1"/>
  <c r="N218" i="1"/>
  <c r="N219" i="1"/>
  <c r="N220" i="1"/>
  <c r="N221" i="1"/>
  <c r="N222" i="1"/>
  <c r="N223" i="1"/>
  <c r="N224" i="1"/>
  <c r="N225" i="1"/>
  <c r="N226" i="1"/>
  <c r="N227" i="1"/>
  <c r="N228" i="1"/>
  <c r="N229" i="1"/>
  <c r="N230" i="1"/>
  <c r="N231" i="1"/>
  <c r="N232" i="1"/>
  <c r="N233" i="1"/>
  <c r="N186" i="1"/>
  <c r="N187" i="1"/>
  <c r="N188" i="1"/>
  <c r="N189" i="1"/>
  <c r="N190" i="1"/>
  <c r="N191" i="1"/>
  <c r="N192" i="1"/>
  <c r="N193" i="1"/>
  <c r="N194" i="1"/>
  <c r="N195" i="1"/>
  <c r="N196" i="1"/>
  <c r="N197" i="1"/>
  <c r="N198" i="1"/>
  <c r="N199" i="1"/>
  <c r="N200" i="1"/>
  <c r="N201" i="1"/>
  <c r="N202" i="1"/>
  <c r="N203" i="1"/>
  <c r="N204" i="1"/>
  <c r="N205" i="1"/>
  <c r="N206" i="1"/>
  <c r="N207" i="1"/>
  <c r="N208" i="1"/>
  <c r="N209" i="1"/>
  <c r="N162" i="1"/>
  <c r="N163" i="1"/>
  <c r="N164" i="1"/>
  <c r="N165" i="1"/>
  <c r="N166" i="1"/>
  <c r="N167" i="1"/>
  <c r="N168" i="1"/>
  <c r="N169" i="1"/>
  <c r="N170" i="1"/>
  <c r="N171" i="1"/>
  <c r="N172" i="1"/>
  <c r="N173" i="1"/>
  <c r="N174" i="1"/>
  <c r="N175" i="1"/>
  <c r="N176" i="1"/>
  <c r="N177" i="1"/>
  <c r="N178" i="1"/>
  <c r="N179" i="1"/>
  <c r="N180" i="1"/>
  <c r="N181" i="1"/>
  <c r="N182" i="1"/>
  <c r="N183" i="1"/>
  <c r="N184" i="1"/>
  <c r="N185" i="1"/>
  <c r="N138" i="1"/>
  <c r="N139" i="1"/>
  <c r="N140" i="1"/>
  <c r="N141" i="1"/>
  <c r="N142" i="1"/>
  <c r="N143" i="1"/>
  <c r="N144" i="1"/>
  <c r="N145" i="1"/>
  <c r="N146" i="1"/>
  <c r="N147" i="1"/>
  <c r="N148" i="1"/>
  <c r="N149" i="1"/>
  <c r="N150" i="1"/>
  <c r="N151" i="1"/>
  <c r="N152" i="1"/>
  <c r="N153" i="1"/>
  <c r="N154" i="1"/>
  <c r="N155" i="1"/>
  <c r="N156" i="1"/>
  <c r="N157" i="1"/>
  <c r="N158" i="1"/>
  <c r="N159" i="1"/>
  <c r="N160" i="1"/>
  <c r="N161" i="1"/>
  <c r="N114" i="1"/>
  <c r="N115" i="1"/>
  <c r="N116" i="1"/>
  <c r="N117" i="1"/>
  <c r="N118" i="1"/>
  <c r="N119" i="1"/>
  <c r="N120" i="1"/>
  <c r="N121" i="1"/>
  <c r="N122" i="1"/>
  <c r="N123" i="1"/>
  <c r="N124" i="1"/>
  <c r="N125" i="1"/>
  <c r="N126" i="1"/>
  <c r="N127" i="1"/>
  <c r="N128" i="1"/>
  <c r="N129" i="1"/>
  <c r="N130" i="1"/>
  <c r="N131" i="1"/>
  <c r="N132" i="1"/>
  <c r="N133" i="1"/>
  <c r="N134" i="1"/>
  <c r="N135" i="1"/>
  <c r="N136" i="1"/>
  <c r="N137" i="1"/>
  <c r="N90" i="1"/>
  <c r="N91" i="1"/>
  <c r="N92" i="1"/>
  <c r="N93" i="1"/>
  <c r="N94" i="1"/>
  <c r="N95" i="1"/>
  <c r="N96" i="1"/>
  <c r="N97" i="1"/>
  <c r="N98" i="1"/>
  <c r="N99" i="1"/>
  <c r="N100" i="1"/>
  <c r="N101" i="1"/>
  <c r="N102" i="1"/>
  <c r="N103" i="1"/>
  <c r="N104" i="1"/>
  <c r="N105" i="1"/>
  <c r="N106" i="1"/>
  <c r="N107" i="1"/>
  <c r="N108" i="1"/>
  <c r="N109" i="1"/>
  <c r="N110" i="1"/>
  <c r="N111" i="1"/>
  <c r="N112" i="1"/>
  <c r="N113" i="1"/>
  <c r="N66" i="1"/>
  <c r="N67" i="1"/>
  <c r="N68" i="1"/>
  <c r="N69" i="1"/>
  <c r="N70" i="1"/>
  <c r="N71" i="1"/>
  <c r="N72" i="1"/>
  <c r="N73" i="1"/>
  <c r="N74" i="1"/>
  <c r="N75" i="1"/>
  <c r="N76" i="1"/>
  <c r="N77" i="1"/>
  <c r="N78" i="1"/>
  <c r="N79" i="1"/>
  <c r="N80" i="1"/>
  <c r="N81" i="1"/>
  <c r="N82" i="1"/>
  <c r="N83" i="1"/>
  <c r="N84" i="1"/>
  <c r="N85" i="1"/>
  <c r="N86" i="1"/>
  <c r="N87" i="1"/>
  <c r="N88" i="1"/>
  <c r="N89" i="1"/>
  <c r="N42" i="1"/>
  <c r="N43" i="1"/>
  <c r="N44" i="1"/>
  <c r="N45" i="1"/>
  <c r="N46" i="1"/>
  <c r="N47" i="1"/>
  <c r="N48" i="1"/>
  <c r="N49" i="1"/>
  <c r="N50" i="1"/>
  <c r="N51" i="1"/>
  <c r="N52" i="1"/>
  <c r="N53" i="1"/>
  <c r="N54" i="1"/>
  <c r="N55" i="1"/>
  <c r="N56" i="1"/>
  <c r="N57" i="1"/>
  <c r="N58" i="1"/>
  <c r="N59" i="1"/>
  <c r="N60" i="1"/>
  <c r="N61" i="1"/>
  <c r="N62" i="1"/>
  <c r="N63" i="1"/>
  <c r="N64" i="1"/>
  <c r="N65" i="1"/>
  <c r="N18" i="1"/>
  <c r="N19" i="1"/>
  <c r="N20" i="1"/>
  <c r="N21" i="1"/>
  <c r="N22" i="1"/>
  <c r="N23" i="1"/>
  <c r="N24" i="1"/>
  <c r="N25" i="1"/>
  <c r="N26" i="1"/>
  <c r="N27" i="1"/>
  <c r="N28" i="1"/>
  <c r="N29" i="1"/>
  <c r="N30" i="1"/>
  <c r="N31" i="1"/>
  <c r="N32" i="1"/>
  <c r="N33" i="1"/>
  <c r="N34" i="1"/>
  <c r="N35" i="1"/>
  <c r="N36" i="1"/>
  <c r="N37" i="1"/>
  <c r="N38" i="1"/>
  <c r="N39" i="1"/>
  <c r="N40" i="1"/>
  <c r="N41" i="1"/>
  <c r="N3" i="1"/>
  <c r="N4" i="1"/>
  <c r="N5" i="1"/>
  <c r="N6" i="1"/>
  <c r="N7" i="1"/>
  <c r="N8" i="1"/>
  <c r="N9" i="1"/>
  <c r="N10" i="1"/>
  <c r="N11" i="1"/>
  <c r="N12" i="1"/>
  <c r="N13" i="1"/>
  <c r="N14" i="1"/>
  <c r="N15" i="1"/>
  <c r="N16" i="1"/>
  <c r="N17" i="1"/>
  <c r="O6" i="1"/>
  <c r="O4" i="1"/>
  <c r="O2" i="1"/>
  <c r="M978" i="1"/>
  <c r="M979" i="1"/>
  <c r="M980" i="1"/>
  <c r="M981" i="1"/>
  <c r="M982" i="1"/>
  <c r="M983" i="1"/>
  <c r="M984" i="1"/>
  <c r="M985" i="1"/>
  <c r="M986" i="1"/>
  <c r="M987" i="1"/>
  <c r="M988" i="1"/>
  <c r="M989" i="1"/>
  <c r="M990" i="1"/>
  <c r="M991" i="1"/>
  <c r="M992" i="1"/>
  <c r="M993" i="1"/>
  <c r="M994" i="1"/>
  <c r="M995" i="1"/>
  <c r="M996" i="1"/>
  <c r="M997" i="1"/>
  <c r="M998" i="1"/>
  <c r="M999" i="1"/>
  <c r="M1000" i="1"/>
  <c r="M1001" i="1"/>
  <c r="M954" i="1"/>
  <c r="M955" i="1"/>
  <c r="M956" i="1"/>
  <c r="M957" i="1"/>
  <c r="M958" i="1"/>
  <c r="M959" i="1"/>
  <c r="M960" i="1"/>
  <c r="M961" i="1"/>
  <c r="M962" i="1"/>
  <c r="M963" i="1"/>
  <c r="M964" i="1"/>
  <c r="M965" i="1"/>
  <c r="M966" i="1"/>
  <c r="M967" i="1"/>
  <c r="M968" i="1"/>
  <c r="M969" i="1"/>
  <c r="M970" i="1"/>
  <c r="M971" i="1"/>
  <c r="M972" i="1"/>
  <c r="M973" i="1"/>
  <c r="M974" i="1"/>
  <c r="M975" i="1"/>
  <c r="M976" i="1"/>
  <c r="M977" i="1"/>
  <c r="M930" i="1"/>
  <c r="M931" i="1"/>
  <c r="M932" i="1"/>
  <c r="M933" i="1"/>
  <c r="M934" i="1"/>
  <c r="M935" i="1"/>
  <c r="M936" i="1"/>
  <c r="M937" i="1"/>
  <c r="M938" i="1"/>
  <c r="M939" i="1"/>
  <c r="M940" i="1"/>
  <c r="M941" i="1"/>
  <c r="M942" i="1"/>
  <c r="M943" i="1"/>
  <c r="M944" i="1"/>
  <c r="M945" i="1"/>
  <c r="M946" i="1"/>
  <c r="M947" i="1"/>
  <c r="M948" i="1"/>
  <c r="M949" i="1"/>
  <c r="M950" i="1"/>
  <c r="M951" i="1"/>
  <c r="M952" i="1"/>
  <c r="M953" i="1"/>
  <c r="M906" i="1"/>
  <c r="M907" i="1"/>
  <c r="M908" i="1"/>
  <c r="M909" i="1"/>
  <c r="M910" i="1"/>
  <c r="M911" i="1"/>
  <c r="M912" i="1"/>
  <c r="M913" i="1"/>
  <c r="M914" i="1"/>
  <c r="M915" i="1"/>
  <c r="M916" i="1"/>
  <c r="M917" i="1"/>
  <c r="M918" i="1"/>
  <c r="M919" i="1"/>
  <c r="M920" i="1"/>
  <c r="M921" i="1"/>
  <c r="M922" i="1"/>
  <c r="M923" i="1"/>
  <c r="M924" i="1"/>
  <c r="M925" i="1"/>
  <c r="M926" i="1"/>
  <c r="M927" i="1"/>
  <c r="M928" i="1"/>
  <c r="M929" i="1"/>
  <c r="M882" i="1"/>
  <c r="M883" i="1"/>
  <c r="M884" i="1"/>
  <c r="M885" i="1"/>
  <c r="M886" i="1"/>
  <c r="M887" i="1"/>
  <c r="M888" i="1"/>
  <c r="M889" i="1"/>
  <c r="M890" i="1"/>
  <c r="M891" i="1"/>
  <c r="M892" i="1"/>
  <c r="M893" i="1"/>
  <c r="M894" i="1"/>
  <c r="M895" i="1"/>
  <c r="M896" i="1"/>
  <c r="M897" i="1"/>
  <c r="M898" i="1"/>
  <c r="M899" i="1"/>
  <c r="M900" i="1"/>
  <c r="M901" i="1"/>
  <c r="M902" i="1"/>
  <c r="M903" i="1"/>
  <c r="M904" i="1"/>
  <c r="M905" i="1"/>
  <c r="M858" i="1"/>
  <c r="M859" i="1"/>
  <c r="M860" i="1"/>
  <c r="M861" i="1"/>
  <c r="M862" i="1"/>
  <c r="M863" i="1"/>
  <c r="M864" i="1"/>
  <c r="M865" i="1"/>
  <c r="M866" i="1"/>
  <c r="M867" i="1"/>
  <c r="M868" i="1"/>
  <c r="M869" i="1"/>
  <c r="M870" i="1"/>
  <c r="M871" i="1"/>
  <c r="M872" i="1"/>
  <c r="M873" i="1"/>
  <c r="M874" i="1"/>
  <c r="M875" i="1"/>
  <c r="M876" i="1"/>
  <c r="M877" i="1"/>
  <c r="M878" i="1"/>
  <c r="M879" i="1"/>
  <c r="M880" i="1"/>
  <c r="M881" i="1"/>
  <c r="M834" i="1"/>
  <c r="M835" i="1"/>
  <c r="M836" i="1"/>
  <c r="M837" i="1"/>
  <c r="M838" i="1"/>
  <c r="M839" i="1"/>
  <c r="M840" i="1"/>
  <c r="M841" i="1"/>
  <c r="M842" i="1"/>
  <c r="M843" i="1"/>
  <c r="M844" i="1"/>
  <c r="M845" i="1"/>
  <c r="M846" i="1"/>
  <c r="M847" i="1"/>
  <c r="M848" i="1"/>
  <c r="M849" i="1"/>
  <c r="M850" i="1"/>
  <c r="M851" i="1"/>
  <c r="M852" i="1"/>
  <c r="M853" i="1"/>
  <c r="M854" i="1"/>
  <c r="M855" i="1"/>
  <c r="M856" i="1"/>
  <c r="M857" i="1"/>
  <c r="M810" i="1"/>
  <c r="M811" i="1"/>
  <c r="M812" i="1"/>
  <c r="M813" i="1"/>
  <c r="M814" i="1"/>
  <c r="M815" i="1"/>
  <c r="M816" i="1"/>
  <c r="M817" i="1"/>
  <c r="M818" i="1"/>
  <c r="M819" i="1"/>
  <c r="M820" i="1"/>
  <c r="M821" i="1"/>
  <c r="M822" i="1"/>
  <c r="M823" i="1"/>
  <c r="M824" i="1"/>
  <c r="M825" i="1"/>
  <c r="M826" i="1"/>
  <c r="M827" i="1"/>
  <c r="M828" i="1"/>
  <c r="M829" i="1"/>
  <c r="M830" i="1"/>
  <c r="M831" i="1"/>
  <c r="M832" i="1"/>
  <c r="M833" i="1"/>
  <c r="M786" i="1"/>
  <c r="M787" i="1"/>
  <c r="M788" i="1"/>
  <c r="M789" i="1"/>
  <c r="M790" i="1"/>
  <c r="M791" i="1"/>
  <c r="M792" i="1"/>
  <c r="M793" i="1"/>
  <c r="M794" i="1"/>
  <c r="M795" i="1"/>
  <c r="M796" i="1"/>
  <c r="M797" i="1"/>
  <c r="M798" i="1"/>
  <c r="M799" i="1"/>
  <c r="M800" i="1"/>
  <c r="M801" i="1"/>
  <c r="M802" i="1"/>
  <c r="M803" i="1"/>
  <c r="M804" i="1"/>
  <c r="M805" i="1"/>
  <c r="M806" i="1"/>
  <c r="M807" i="1"/>
  <c r="M808" i="1"/>
  <c r="M809" i="1"/>
  <c r="M762" i="1"/>
  <c r="M763" i="1"/>
  <c r="M764" i="1"/>
  <c r="M765" i="1"/>
  <c r="M766" i="1"/>
  <c r="M767" i="1"/>
  <c r="M768" i="1"/>
  <c r="M769" i="1"/>
  <c r="M770" i="1"/>
  <c r="M771" i="1"/>
  <c r="M772" i="1"/>
  <c r="M773" i="1"/>
  <c r="M774" i="1"/>
  <c r="M775" i="1"/>
  <c r="M776" i="1"/>
  <c r="M777" i="1"/>
  <c r="M778" i="1"/>
  <c r="M779" i="1"/>
  <c r="M780" i="1"/>
  <c r="M781" i="1"/>
  <c r="M782" i="1"/>
  <c r="M783" i="1"/>
  <c r="M784" i="1"/>
  <c r="M785" i="1"/>
  <c r="M738" i="1"/>
  <c r="M739" i="1"/>
  <c r="M740" i="1"/>
  <c r="M741" i="1"/>
  <c r="M742" i="1"/>
  <c r="M743" i="1"/>
  <c r="M744" i="1"/>
  <c r="M745" i="1"/>
  <c r="M746" i="1"/>
  <c r="M747" i="1"/>
  <c r="M748" i="1"/>
  <c r="M749" i="1"/>
  <c r="M750" i="1"/>
  <c r="M751" i="1"/>
  <c r="M752" i="1"/>
  <c r="M753" i="1"/>
  <c r="M754" i="1"/>
  <c r="M755" i="1"/>
  <c r="M756" i="1"/>
  <c r="M757" i="1"/>
  <c r="M758" i="1"/>
  <c r="M759" i="1"/>
  <c r="M760" i="1"/>
  <c r="M761" i="1"/>
  <c r="M714" i="1"/>
  <c r="M715" i="1"/>
  <c r="M716" i="1"/>
  <c r="M717" i="1"/>
  <c r="M718" i="1"/>
  <c r="M719" i="1"/>
  <c r="M720" i="1"/>
  <c r="M721" i="1"/>
  <c r="M722" i="1"/>
  <c r="M723" i="1"/>
  <c r="M724" i="1"/>
  <c r="M725" i="1"/>
  <c r="M726" i="1"/>
  <c r="M727" i="1"/>
  <c r="M728" i="1"/>
  <c r="M729" i="1"/>
  <c r="M730" i="1"/>
  <c r="M731" i="1"/>
  <c r="M732" i="1"/>
  <c r="M733" i="1"/>
  <c r="M734" i="1"/>
  <c r="M735" i="1"/>
  <c r="M736" i="1"/>
  <c r="M737" i="1"/>
  <c r="M690" i="1"/>
  <c r="M691" i="1"/>
  <c r="M692" i="1"/>
  <c r="M693" i="1"/>
  <c r="M694" i="1"/>
  <c r="M695" i="1"/>
  <c r="M696" i="1"/>
  <c r="M697" i="1"/>
  <c r="M698" i="1"/>
  <c r="M699" i="1"/>
  <c r="M700" i="1"/>
  <c r="M701" i="1"/>
  <c r="M702" i="1"/>
  <c r="M703" i="1"/>
  <c r="M704" i="1"/>
  <c r="M705" i="1"/>
  <c r="M706" i="1"/>
  <c r="M707" i="1"/>
  <c r="M708" i="1"/>
  <c r="M709" i="1"/>
  <c r="M710" i="1"/>
  <c r="M711" i="1"/>
  <c r="M712" i="1"/>
  <c r="M713" i="1"/>
  <c r="M666" i="1"/>
  <c r="M667" i="1"/>
  <c r="M668" i="1"/>
  <c r="M669" i="1"/>
  <c r="M670" i="1"/>
  <c r="M671" i="1"/>
  <c r="M672" i="1"/>
  <c r="M673" i="1"/>
  <c r="M674" i="1"/>
  <c r="M675" i="1"/>
  <c r="M676" i="1"/>
  <c r="M677" i="1"/>
  <c r="M678" i="1"/>
  <c r="M679" i="1"/>
  <c r="M680" i="1"/>
  <c r="M681" i="1"/>
  <c r="M682" i="1"/>
  <c r="M683" i="1"/>
  <c r="M684" i="1"/>
  <c r="M685" i="1"/>
  <c r="M686" i="1"/>
  <c r="M687" i="1"/>
  <c r="M688" i="1"/>
  <c r="M689" i="1"/>
  <c r="M642" i="1"/>
  <c r="M643" i="1"/>
  <c r="M644" i="1"/>
  <c r="M645" i="1"/>
  <c r="M646" i="1"/>
  <c r="M647" i="1"/>
  <c r="M648" i="1"/>
  <c r="M649" i="1"/>
  <c r="M650" i="1"/>
  <c r="M651" i="1"/>
  <c r="M652" i="1"/>
  <c r="M653" i="1"/>
  <c r="M654" i="1"/>
  <c r="M655" i="1"/>
  <c r="M656" i="1"/>
  <c r="M657" i="1"/>
  <c r="M658" i="1"/>
  <c r="M659" i="1"/>
  <c r="M660" i="1"/>
  <c r="M661" i="1"/>
  <c r="M662" i="1"/>
  <c r="M663" i="1"/>
  <c r="M664" i="1"/>
  <c r="M665" i="1"/>
  <c r="M618" i="1"/>
  <c r="M619" i="1"/>
  <c r="M620" i="1"/>
  <c r="M621" i="1"/>
  <c r="M622" i="1"/>
  <c r="M623" i="1"/>
  <c r="M624" i="1"/>
  <c r="M625" i="1"/>
  <c r="M626" i="1"/>
  <c r="M627" i="1"/>
  <c r="M628" i="1"/>
  <c r="M629" i="1"/>
  <c r="M630" i="1"/>
  <c r="M631" i="1"/>
  <c r="M632" i="1"/>
  <c r="M633" i="1"/>
  <c r="M634" i="1"/>
  <c r="M635" i="1"/>
  <c r="M636" i="1"/>
  <c r="M637" i="1"/>
  <c r="M638" i="1"/>
  <c r="M639" i="1"/>
  <c r="M640" i="1"/>
  <c r="M641" i="1"/>
  <c r="M594" i="1"/>
  <c r="M595" i="1"/>
  <c r="M596" i="1"/>
  <c r="M597" i="1"/>
  <c r="M598" i="1"/>
  <c r="M599" i="1"/>
  <c r="M600" i="1"/>
  <c r="M601" i="1"/>
  <c r="M602" i="1"/>
  <c r="M603" i="1"/>
  <c r="M604" i="1"/>
  <c r="M605" i="1"/>
  <c r="M606" i="1"/>
  <c r="M607" i="1"/>
  <c r="M608" i="1"/>
  <c r="M609" i="1"/>
  <c r="M610" i="1"/>
  <c r="M611" i="1"/>
  <c r="M612" i="1"/>
  <c r="M613" i="1"/>
  <c r="M614" i="1"/>
  <c r="M615" i="1"/>
  <c r="M616" i="1"/>
  <c r="M617" i="1"/>
  <c r="M570" i="1"/>
  <c r="M571" i="1"/>
  <c r="M572" i="1"/>
  <c r="M573" i="1"/>
  <c r="M574" i="1"/>
  <c r="M575" i="1"/>
  <c r="M576" i="1"/>
  <c r="M577" i="1"/>
  <c r="M578" i="1"/>
  <c r="M579" i="1"/>
  <c r="M580" i="1"/>
  <c r="M581" i="1"/>
  <c r="M582" i="1"/>
  <c r="M583" i="1"/>
  <c r="M584" i="1"/>
  <c r="M585" i="1"/>
  <c r="M586" i="1"/>
  <c r="M587" i="1"/>
  <c r="M588" i="1"/>
  <c r="M589" i="1"/>
  <c r="M590" i="1"/>
  <c r="M591" i="1"/>
  <c r="M592" i="1"/>
  <c r="M593" i="1"/>
  <c r="M546" i="1"/>
  <c r="M547" i="1"/>
  <c r="M548" i="1"/>
  <c r="M549" i="1"/>
  <c r="M550" i="1"/>
  <c r="M551" i="1"/>
  <c r="M552" i="1"/>
  <c r="M553" i="1"/>
  <c r="M554" i="1"/>
  <c r="M555" i="1"/>
  <c r="M556" i="1"/>
  <c r="M557" i="1"/>
  <c r="M558" i="1"/>
  <c r="M559" i="1"/>
  <c r="M560" i="1"/>
  <c r="M561" i="1"/>
  <c r="M562" i="1"/>
  <c r="M563" i="1"/>
  <c r="M564" i="1"/>
  <c r="M565" i="1"/>
  <c r="M566" i="1"/>
  <c r="M567" i="1"/>
  <c r="M568" i="1"/>
  <c r="M569" i="1"/>
  <c r="M522" i="1"/>
  <c r="M523" i="1"/>
  <c r="M524" i="1"/>
  <c r="M525" i="1"/>
  <c r="M526" i="1"/>
  <c r="M527" i="1"/>
  <c r="M528" i="1"/>
  <c r="M529" i="1"/>
  <c r="M530" i="1"/>
  <c r="M531" i="1"/>
  <c r="M532" i="1"/>
  <c r="M533" i="1"/>
  <c r="M534" i="1"/>
  <c r="M535" i="1"/>
  <c r="M536" i="1"/>
  <c r="M537" i="1"/>
  <c r="M538" i="1"/>
  <c r="M539" i="1"/>
  <c r="M540" i="1"/>
  <c r="M541" i="1"/>
  <c r="M542" i="1"/>
  <c r="M543" i="1"/>
  <c r="M544" i="1"/>
  <c r="M545" i="1"/>
  <c r="M498" i="1"/>
  <c r="M499" i="1"/>
  <c r="M500" i="1"/>
  <c r="M501" i="1"/>
  <c r="M502" i="1"/>
  <c r="M503" i="1"/>
  <c r="M504" i="1"/>
  <c r="M505" i="1"/>
  <c r="M506" i="1"/>
  <c r="M507" i="1"/>
  <c r="M508" i="1"/>
  <c r="M509" i="1"/>
  <c r="M510" i="1"/>
  <c r="M511" i="1"/>
  <c r="M512" i="1"/>
  <c r="M513" i="1"/>
  <c r="M514" i="1"/>
  <c r="M515" i="1"/>
  <c r="M516" i="1"/>
  <c r="M517" i="1"/>
  <c r="M518" i="1"/>
  <c r="M519" i="1"/>
  <c r="M520" i="1"/>
  <c r="M521" i="1"/>
  <c r="M474" i="1"/>
  <c r="M475" i="1"/>
  <c r="M476" i="1"/>
  <c r="M477" i="1"/>
  <c r="M478" i="1"/>
  <c r="M479" i="1"/>
  <c r="M480" i="1"/>
  <c r="M481" i="1"/>
  <c r="M482" i="1"/>
  <c r="M483" i="1"/>
  <c r="M484" i="1"/>
  <c r="M485" i="1"/>
  <c r="M486" i="1"/>
  <c r="M487" i="1"/>
  <c r="M488" i="1"/>
  <c r="M489" i="1"/>
  <c r="M490" i="1"/>
  <c r="M491" i="1"/>
  <c r="M492" i="1"/>
  <c r="M493" i="1"/>
  <c r="M494" i="1"/>
  <c r="M495" i="1"/>
  <c r="M496" i="1"/>
  <c r="M497" i="1"/>
  <c r="M450" i="1"/>
  <c r="M451" i="1"/>
  <c r="M452" i="1"/>
  <c r="M453" i="1"/>
  <c r="M454" i="1"/>
  <c r="M455" i="1"/>
  <c r="M456" i="1"/>
  <c r="M457" i="1"/>
  <c r="M458" i="1"/>
  <c r="M459" i="1"/>
  <c r="M460" i="1"/>
  <c r="M461" i="1"/>
  <c r="M462" i="1"/>
  <c r="M463" i="1"/>
  <c r="M464" i="1"/>
  <c r="M465" i="1"/>
  <c r="M466" i="1"/>
  <c r="M467" i="1"/>
  <c r="M468" i="1"/>
  <c r="M469" i="1"/>
  <c r="M470" i="1"/>
  <c r="M471" i="1"/>
  <c r="M472" i="1"/>
  <c r="M473" i="1"/>
  <c r="M426" i="1"/>
  <c r="M427" i="1"/>
  <c r="M428" i="1"/>
  <c r="M429" i="1"/>
  <c r="M430" i="1"/>
  <c r="M431" i="1"/>
  <c r="M432" i="1"/>
  <c r="M433" i="1"/>
  <c r="M434" i="1"/>
  <c r="M435" i="1"/>
  <c r="M436" i="1"/>
  <c r="M437" i="1"/>
  <c r="M438" i="1"/>
  <c r="M439" i="1"/>
  <c r="M440" i="1"/>
  <c r="M441" i="1"/>
  <c r="M442" i="1"/>
  <c r="M443" i="1"/>
  <c r="M444" i="1"/>
  <c r="M445" i="1"/>
  <c r="M446" i="1"/>
  <c r="M447" i="1"/>
  <c r="M448" i="1"/>
  <c r="M449" i="1"/>
  <c r="M402" i="1"/>
  <c r="M403" i="1"/>
  <c r="M404" i="1"/>
  <c r="M405" i="1"/>
  <c r="M406" i="1"/>
  <c r="M407" i="1"/>
  <c r="M408" i="1"/>
  <c r="M409" i="1"/>
  <c r="M410" i="1"/>
  <c r="M411" i="1"/>
  <c r="M412" i="1"/>
  <c r="M413" i="1"/>
  <c r="M414" i="1"/>
  <c r="M415" i="1"/>
  <c r="M416" i="1"/>
  <c r="M417" i="1"/>
  <c r="M418" i="1"/>
  <c r="M419" i="1"/>
  <c r="M420" i="1"/>
  <c r="M421" i="1"/>
  <c r="M422" i="1"/>
  <c r="M423" i="1"/>
  <c r="M424" i="1"/>
  <c r="M425" i="1"/>
  <c r="M378" i="1"/>
  <c r="M379" i="1"/>
  <c r="M380" i="1"/>
  <c r="M381" i="1"/>
  <c r="M382" i="1"/>
  <c r="M383" i="1"/>
  <c r="M384" i="1"/>
  <c r="M385" i="1"/>
  <c r="M386" i="1"/>
  <c r="M387" i="1"/>
  <c r="M388" i="1"/>
  <c r="M389" i="1"/>
  <c r="M390" i="1"/>
  <c r="M391" i="1"/>
  <c r="M392" i="1"/>
  <c r="M393" i="1"/>
  <c r="M394" i="1"/>
  <c r="M395" i="1"/>
  <c r="M396" i="1"/>
  <c r="M397" i="1"/>
  <c r="M398" i="1"/>
  <c r="M399" i="1"/>
  <c r="M400" i="1"/>
  <c r="M401" i="1"/>
  <c r="M354" i="1"/>
  <c r="M355" i="1"/>
  <c r="M356" i="1"/>
  <c r="M357" i="1"/>
  <c r="M358" i="1"/>
  <c r="M359" i="1"/>
  <c r="M360" i="1"/>
  <c r="M361" i="1"/>
  <c r="M362" i="1"/>
  <c r="M363" i="1"/>
  <c r="M364" i="1"/>
  <c r="M365" i="1"/>
  <c r="M366" i="1"/>
  <c r="M367" i="1"/>
  <c r="M368" i="1"/>
  <c r="M369" i="1"/>
  <c r="M370" i="1"/>
  <c r="M371" i="1"/>
  <c r="M372" i="1"/>
  <c r="M373" i="1"/>
  <c r="M374" i="1"/>
  <c r="M375" i="1"/>
  <c r="M376" i="1"/>
  <c r="M377" i="1"/>
  <c r="M330" i="1"/>
  <c r="M331" i="1"/>
  <c r="M332" i="1"/>
  <c r="M333" i="1"/>
  <c r="M334" i="1"/>
  <c r="M335" i="1"/>
  <c r="M336" i="1"/>
  <c r="M337" i="1"/>
  <c r="M338" i="1"/>
  <c r="M339" i="1"/>
  <c r="M340" i="1"/>
  <c r="M341" i="1"/>
  <c r="M342" i="1"/>
  <c r="M343" i="1"/>
  <c r="M344" i="1"/>
  <c r="M345" i="1"/>
  <c r="M346" i="1"/>
  <c r="M347" i="1"/>
  <c r="M348" i="1"/>
  <c r="M349" i="1"/>
  <c r="M350" i="1"/>
  <c r="M351" i="1"/>
  <c r="M352" i="1"/>
  <c r="M353" i="1"/>
  <c r="M306" i="1"/>
  <c r="M307" i="1"/>
  <c r="M308" i="1"/>
  <c r="M309" i="1"/>
  <c r="M310" i="1"/>
  <c r="M311" i="1"/>
  <c r="M312" i="1"/>
  <c r="M313" i="1"/>
  <c r="M314" i="1"/>
  <c r="M315" i="1"/>
  <c r="M316" i="1"/>
  <c r="M317" i="1"/>
  <c r="M318" i="1"/>
  <c r="M319" i="1"/>
  <c r="M320" i="1"/>
  <c r="M321" i="1"/>
  <c r="M322" i="1"/>
  <c r="M323" i="1"/>
  <c r="M324" i="1"/>
  <c r="M325" i="1"/>
  <c r="M326" i="1"/>
  <c r="M327" i="1"/>
  <c r="M328" i="1"/>
  <c r="M329" i="1"/>
  <c r="M282" i="1"/>
  <c r="M283" i="1"/>
  <c r="M284" i="1"/>
  <c r="M285" i="1"/>
  <c r="M286" i="1"/>
  <c r="M287" i="1"/>
  <c r="M288" i="1"/>
  <c r="M289" i="1"/>
  <c r="M290" i="1"/>
  <c r="M291" i="1"/>
  <c r="M292" i="1"/>
  <c r="M293" i="1"/>
  <c r="M294" i="1"/>
  <c r="M295" i="1"/>
  <c r="M296" i="1"/>
  <c r="M297" i="1"/>
  <c r="M298" i="1"/>
  <c r="M299" i="1"/>
  <c r="M300" i="1"/>
  <c r="M301" i="1"/>
  <c r="M302" i="1"/>
  <c r="M303" i="1"/>
  <c r="M304" i="1"/>
  <c r="M305" i="1"/>
  <c r="M258" i="1"/>
  <c r="M259" i="1"/>
  <c r="M260" i="1"/>
  <c r="M261" i="1"/>
  <c r="M262" i="1"/>
  <c r="M263" i="1"/>
  <c r="M264" i="1"/>
  <c r="M265" i="1"/>
  <c r="M266" i="1"/>
  <c r="M267" i="1"/>
  <c r="M268" i="1"/>
  <c r="M269" i="1"/>
  <c r="M270" i="1"/>
  <c r="M271" i="1"/>
  <c r="M272" i="1"/>
  <c r="M273" i="1"/>
  <c r="M274" i="1"/>
  <c r="M275" i="1"/>
  <c r="M276" i="1"/>
  <c r="M277" i="1"/>
  <c r="M278" i="1"/>
  <c r="M279" i="1"/>
  <c r="M280" i="1"/>
  <c r="M281" i="1"/>
  <c r="M234" i="1"/>
  <c r="M235" i="1"/>
  <c r="M236" i="1"/>
  <c r="M237" i="1"/>
  <c r="M238" i="1"/>
  <c r="M239" i="1"/>
  <c r="M240" i="1"/>
  <c r="M241" i="1"/>
  <c r="M242" i="1"/>
  <c r="M243" i="1"/>
  <c r="M244" i="1"/>
  <c r="M245" i="1"/>
  <c r="M246" i="1"/>
  <c r="M247" i="1"/>
  <c r="M248" i="1"/>
  <c r="M249" i="1"/>
  <c r="M250" i="1"/>
  <c r="M251" i="1"/>
  <c r="M252" i="1"/>
  <c r="M253" i="1"/>
  <c r="M254" i="1"/>
  <c r="M255" i="1"/>
  <c r="M256" i="1"/>
  <c r="M257" i="1"/>
  <c r="M210" i="1"/>
  <c r="M211" i="1"/>
  <c r="M212" i="1"/>
  <c r="M213" i="1"/>
  <c r="M214" i="1"/>
  <c r="M215" i="1"/>
  <c r="M216" i="1"/>
  <c r="M217" i="1"/>
  <c r="M218" i="1"/>
  <c r="M219" i="1"/>
  <c r="M220" i="1"/>
  <c r="M221" i="1"/>
  <c r="M222" i="1"/>
  <c r="M223" i="1"/>
  <c r="M224" i="1"/>
  <c r="M225" i="1"/>
  <c r="M226" i="1"/>
  <c r="M227" i="1"/>
  <c r="M228" i="1"/>
  <c r="M229" i="1"/>
  <c r="M230" i="1"/>
  <c r="M231" i="1"/>
  <c r="M232" i="1"/>
  <c r="M233" i="1"/>
  <c r="M186" i="1"/>
  <c r="M187" i="1"/>
  <c r="M188" i="1"/>
  <c r="M189" i="1"/>
  <c r="M190" i="1"/>
  <c r="M191" i="1"/>
  <c r="M192" i="1"/>
  <c r="M193" i="1"/>
  <c r="M194" i="1"/>
  <c r="M195" i="1"/>
  <c r="M196" i="1"/>
  <c r="M197" i="1"/>
  <c r="M198" i="1"/>
  <c r="M199" i="1"/>
  <c r="M200" i="1"/>
  <c r="M201" i="1"/>
  <c r="M202" i="1"/>
  <c r="M203" i="1"/>
  <c r="M204" i="1"/>
  <c r="M205" i="1"/>
  <c r="M206" i="1"/>
  <c r="M207" i="1"/>
  <c r="M208" i="1"/>
  <c r="M209" i="1"/>
  <c r="M162" i="1"/>
  <c r="M163" i="1"/>
  <c r="M164" i="1"/>
  <c r="M165" i="1"/>
  <c r="M166" i="1"/>
  <c r="M167" i="1"/>
  <c r="M168" i="1"/>
  <c r="M169" i="1"/>
  <c r="M170" i="1"/>
  <c r="M171" i="1"/>
  <c r="M172" i="1"/>
  <c r="M173" i="1"/>
  <c r="M174" i="1"/>
  <c r="M175" i="1"/>
  <c r="M176" i="1"/>
  <c r="M177" i="1"/>
  <c r="M178" i="1"/>
  <c r="M179" i="1"/>
  <c r="M180" i="1"/>
  <c r="M181" i="1"/>
  <c r="M182" i="1"/>
  <c r="M183" i="1"/>
  <c r="M184" i="1"/>
  <c r="M185" i="1"/>
  <c r="M138" i="1"/>
  <c r="M139" i="1"/>
  <c r="M140" i="1"/>
  <c r="M141" i="1"/>
  <c r="M142" i="1"/>
  <c r="M143" i="1"/>
  <c r="M144" i="1"/>
  <c r="M145" i="1"/>
  <c r="M146" i="1"/>
  <c r="M147" i="1"/>
  <c r="M148" i="1"/>
  <c r="M149" i="1"/>
  <c r="M150" i="1"/>
  <c r="M151" i="1"/>
  <c r="M152" i="1"/>
  <c r="M153" i="1"/>
  <c r="M154" i="1"/>
  <c r="M155" i="1"/>
  <c r="M156" i="1"/>
  <c r="M157" i="1"/>
  <c r="M158" i="1"/>
  <c r="M159" i="1"/>
  <c r="M160" i="1"/>
  <c r="M161" i="1"/>
  <c r="M114" i="1"/>
  <c r="M115" i="1"/>
  <c r="M116" i="1"/>
  <c r="M117" i="1"/>
  <c r="M118" i="1"/>
  <c r="M119" i="1"/>
  <c r="M120" i="1"/>
  <c r="M121" i="1"/>
  <c r="M122" i="1"/>
  <c r="M123" i="1"/>
  <c r="M124" i="1"/>
  <c r="M125" i="1"/>
  <c r="M126" i="1"/>
  <c r="M127" i="1"/>
  <c r="M128" i="1"/>
  <c r="M129" i="1"/>
  <c r="M130" i="1"/>
  <c r="M131" i="1"/>
  <c r="M132" i="1"/>
  <c r="M133" i="1"/>
  <c r="M134" i="1"/>
  <c r="M135" i="1"/>
  <c r="M136" i="1"/>
  <c r="M137" i="1"/>
  <c r="M90" i="1"/>
  <c r="M91" i="1"/>
  <c r="M92" i="1"/>
  <c r="M93" i="1"/>
  <c r="M94" i="1"/>
  <c r="M95" i="1"/>
  <c r="M96" i="1"/>
  <c r="M97" i="1"/>
  <c r="M98" i="1"/>
  <c r="M99" i="1"/>
  <c r="M100" i="1"/>
  <c r="M101" i="1"/>
  <c r="M102" i="1"/>
  <c r="M103" i="1"/>
  <c r="M104" i="1"/>
  <c r="M105" i="1"/>
  <c r="M106" i="1"/>
  <c r="M107" i="1"/>
  <c r="M108" i="1"/>
  <c r="M109" i="1"/>
  <c r="M110" i="1"/>
  <c r="M111" i="1"/>
  <c r="M112" i="1"/>
  <c r="M113" i="1"/>
  <c r="M66" i="1"/>
  <c r="M67" i="1"/>
  <c r="M68" i="1"/>
  <c r="M69" i="1"/>
  <c r="M70" i="1"/>
  <c r="M71" i="1"/>
  <c r="M72" i="1"/>
  <c r="M73" i="1"/>
  <c r="M74" i="1"/>
  <c r="M75" i="1"/>
  <c r="M76" i="1"/>
  <c r="M77" i="1"/>
  <c r="M78" i="1"/>
  <c r="M79" i="1"/>
  <c r="M80" i="1"/>
  <c r="M81" i="1"/>
  <c r="M82" i="1"/>
  <c r="M83" i="1"/>
  <c r="M84" i="1"/>
  <c r="M85" i="1"/>
  <c r="M86" i="1"/>
  <c r="M87" i="1"/>
  <c r="M88" i="1"/>
  <c r="M89" i="1"/>
  <c r="M42" i="1"/>
  <c r="M43" i="1"/>
  <c r="M44" i="1"/>
  <c r="M45" i="1"/>
  <c r="M46" i="1"/>
  <c r="M47" i="1"/>
  <c r="M48" i="1"/>
  <c r="M49" i="1"/>
  <c r="M50" i="1"/>
  <c r="M51" i="1"/>
  <c r="M52" i="1"/>
  <c r="M53" i="1"/>
  <c r="M54" i="1"/>
  <c r="M55" i="1"/>
  <c r="M56" i="1"/>
  <c r="M57" i="1"/>
  <c r="M58" i="1"/>
  <c r="M59" i="1"/>
  <c r="M60" i="1"/>
  <c r="M61" i="1"/>
  <c r="M62" i="1"/>
  <c r="M63" i="1"/>
  <c r="M64" i="1"/>
  <c r="M65" i="1"/>
  <c r="M18" i="1"/>
  <c r="M19" i="1"/>
  <c r="M20" i="1"/>
  <c r="M21" i="1"/>
  <c r="M22" i="1"/>
  <c r="M23" i="1"/>
  <c r="M24" i="1"/>
  <c r="M25" i="1"/>
  <c r="M26" i="1"/>
  <c r="M27" i="1"/>
  <c r="M28" i="1"/>
  <c r="M29" i="1"/>
  <c r="M30" i="1"/>
  <c r="M31" i="1"/>
  <c r="M32" i="1"/>
  <c r="M33" i="1"/>
  <c r="M34" i="1"/>
  <c r="M35" i="1"/>
  <c r="M36" i="1"/>
  <c r="M37" i="1"/>
  <c r="M38" i="1"/>
  <c r="M39" i="1"/>
  <c r="M40" i="1"/>
  <c r="M41" i="1"/>
  <c r="M2" i="1"/>
  <c r="M3" i="1"/>
  <c r="M4" i="1"/>
  <c r="M5" i="1"/>
  <c r="M6" i="1"/>
  <c r="M7" i="1"/>
  <c r="M8" i="1"/>
  <c r="M9" i="1"/>
  <c r="M10" i="1"/>
  <c r="M11" i="1"/>
  <c r="M12" i="1"/>
  <c r="M13" i="1"/>
  <c r="M14" i="1"/>
  <c r="M15" i="1"/>
  <c r="M16" i="1"/>
  <c r="M17" i="1"/>
  <c r="L978" i="1"/>
  <c r="L979" i="1"/>
  <c r="L980" i="1"/>
  <c r="L981" i="1"/>
  <c r="L982" i="1"/>
  <c r="L983" i="1"/>
  <c r="L984" i="1"/>
  <c r="L985" i="1"/>
  <c r="L986" i="1"/>
  <c r="L987" i="1"/>
  <c r="L988" i="1"/>
  <c r="L989" i="1"/>
  <c r="L990" i="1"/>
  <c r="L991" i="1"/>
  <c r="L992" i="1"/>
  <c r="L993" i="1"/>
  <c r="L994" i="1"/>
  <c r="L995" i="1"/>
  <c r="L996" i="1"/>
  <c r="L997" i="1"/>
  <c r="L998" i="1"/>
  <c r="L999" i="1"/>
  <c r="L1000" i="1"/>
  <c r="L1001" i="1"/>
  <c r="L954" i="1"/>
  <c r="L955" i="1"/>
  <c r="L956" i="1"/>
  <c r="L957" i="1"/>
  <c r="L958" i="1"/>
  <c r="L959" i="1"/>
  <c r="L960" i="1"/>
  <c r="L961" i="1"/>
  <c r="L962" i="1"/>
  <c r="L963" i="1"/>
  <c r="L964" i="1"/>
  <c r="L965" i="1"/>
  <c r="L966" i="1"/>
  <c r="L967" i="1"/>
  <c r="L968" i="1"/>
  <c r="L969" i="1"/>
  <c r="L970" i="1"/>
  <c r="L971" i="1"/>
  <c r="L972" i="1"/>
  <c r="L973" i="1"/>
  <c r="L974" i="1"/>
  <c r="L975" i="1"/>
  <c r="L976" i="1"/>
  <c r="L977" i="1"/>
  <c r="L930" i="1"/>
  <c r="L931" i="1"/>
  <c r="L932" i="1"/>
  <c r="L933" i="1"/>
  <c r="L934" i="1"/>
  <c r="L935" i="1"/>
  <c r="L936" i="1"/>
  <c r="L937" i="1"/>
  <c r="L938" i="1"/>
  <c r="L939" i="1"/>
  <c r="L940" i="1"/>
  <c r="L941" i="1"/>
  <c r="L942" i="1"/>
  <c r="L943" i="1"/>
  <c r="L944" i="1"/>
  <c r="L945" i="1"/>
  <c r="L946" i="1"/>
  <c r="L947" i="1"/>
  <c r="L948" i="1"/>
  <c r="L949" i="1"/>
  <c r="L950" i="1"/>
  <c r="L951" i="1"/>
  <c r="L952" i="1"/>
  <c r="L953" i="1"/>
  <c r="L906" i="1"/>
  <c r="L907" i="1"/>
  <c r="L908" i="1"/>
  <c r="L909" i="1"/>
  <c r="L910" i="1"/>
  <c r="L911" i="1"/>
  <c r="L912" i="1"/>
  <c r="L913" i="1"/>
  <c r="L914" i="1"/>
  <c r="L915" i="1"/>
  <c r="L916" i="1"/>
  <c r="L917" i="1"/>
  <c r="L918" i="1"/>
  <c r="L919" i="1"/>
  <c r="L920" i="1"/>
  <c r="L921" i="1"/>
  <c r="L922" i="1"/>
  <c r="L923" i="1"/>
  <c r="L924" i="1"/>
  <c r="L925" i="1"/>
  <c r="L926" i="1"/>
  <c r="L927" i="1"/>
  <c r="L928" i="1"/>
  <c r="L929" i="1"/>
  <c r="L882" i="1"/>
  <c r="L883" i="1"/>
  <c r="L884" i="1"/>
  <c r="L885" i="1"/>
  <c r="L886" i="1"/>
  <c r="L887" i="1"/>
  <c r="L888" i="1"/>
  <c r="L889" i="1"/>
  <c r="L890" i="1"/>
  <c r="L891" i="1"/>
  <c r="L892" i="1"/>
  <c r="L893" i="1"/>
  <c r="L894" i="1"/>
  <c r="L895" i="1"/>
  <c r="L896" i="1"/>
  <c r="L897" i="1"/>
  <c r="L898" i="1"/>
  <c r="L899" i="1"/>
  <c r="L900" i="1"/>
  <c r="L901" i="1"/>
  <c r="L902" i="1"/>
  <c r="L903" i="1"/>
  <c r="L904" i="1"/>
  <c r="L905" i="1"/>
  <c r="L858" i="1"/>
  <c r="L859" i="1"/>
  <c r="L860" i="1"/>
  <c r="L861" i="1"/>
  <c r="L862" i="1"/>
  <c r="L863" i="1"/>
  <c r="L864" i="1"/>
  <c r="L865" i="1"/>
  <c r="L866" i="1"/>
  <c r="L867" i="1"/>
  <c r="L868" i="1"/>
  <c r="L869" i="1"/>
  <c r="L870" i="1"/>
  <c r="L871" i="1"/>
  <c r="L872" i="1"/>
  <c r="L873" i="1"/>
  <c r="L874" i="1"/>
  <c r="L875" i="1"/>
  <c r="L876" i="1"/>
  <c r="L877" i="1"/>
  <c r="L878" i="1"/>
  <c r="L879" i="1"/>
  <c r="L880" i="1"/>
  <c r="L881" i="1"/>
  <c r="L834" i="1"/>
  <c r="L835" i="1"/>
  <c r="L836" i="1"/>
  <c r="L837" i="1"/>
  <c r="L838" i="1"/>
  <c r="L839" i="1"/>
  <c r="L840" i="1"/>
  <c r="L841" i="1"/>
  <c r="L842" i="1"/>
  <c r="L843" i="1"/>
  <c r="L844" i="1"/>
  <c r="L845" i="1"/>
  <c r="L846" i="1"/>
  <c r="L847" i="1"/>
  <c r="L848" i="1"/>
  <c r="L849" i="1"/>
  <c r="L850" i="1"/>
  <c r="L851" i="1"/>
  <c r="L852" i="1"/>
  <c r="L853" i="1"/>
  <c r="L854" i="1"/>
  <c r="L855" i="1"/>
  <c r="L856" i="1"/>
  <c r="L857" i="1"/>
  <c r="L810" i="1"/>
  <c r="L811" i="1"/>
  <c r="L812" i="1"/>
  <c r="L813" i="1"/>
  <c r="L814" i="1"/>
  <c r="L815" i="1"/>
  <c r="L816" i="1"/>
  <c r="L817" i="1"/>
  <c r="L818" i="1"/>
  <c r="L819" i="1"/>
  <c r="L820" i="1"/>
  <c r="L821" i="1"/>
  <c r="L822" i="1"/>
  <c r="L823" i="1"/>
  <c r="L824" i="1"/>
  <c r="L825" i="1"/>
  <c r="L826" i="1"/>
  <c r="L827" i="1"/>
  <c r="L828" i="1"/>
  <c r="L829" i="1"/>
  <c r="L830" i="1"/>
  <c r="L831" i="1"/>
  <c r="L832" i="1"/>
  <c r="L833" i="1"/>
  <c r="L786" i="1"/>
  <c r="L787" i="1"/>
  <c r="L788" i="1"/>
  <c r="L789" i="1"/>
  <c r="L790" i="1"/>
  <c r="L791" i="1"/>
  <c r="L792" i="1"/>
  <c r="L793" i="1"/>
  <c r="L794" i="1"/>
  <c r="L795" i="1"/>
  <c r="L796" i="1"/>
  <c r="L797" i="1"/>
  <c r="L798" i="1"/>
  <c r="L799" i="1"/>
  <c r="L800" i="1"/>
  <c r="L801" i="1"/>
  <c r="L802" i="1"/>
  <c r="L803" i="1"/>
  <c r="L804" i="1"/>
  <c r="L805" i="1"/>
  <c r="L806" i="1"/>
  <c r="L807" i="1"/>
  <c r="L808" i="1"/>
  <c r="L809" i="1"/>
  <c r="L762" i="1"/>
  <c r="L763" i="1"/>
  <c r="L764" i="1"/>
  <c r="L765" i="1"/>
  <c r="L766" i="1"/>
  <c r="L767" i="1"/>
  <c r="L768" i="1"/>
  <c r="L769" i="1"/>
  <c r="L770" i="1"/>
  <c r="L771" i="1"/>
  <c r="L772" i="1"/>
  <c r="L773" i="1"/>
  <c r="L774" i="1"/>
  <c r="L775" i="1"/>
  <c r="L776" i="1"/>
  <c r="L777" i="1"/>
  <c r="L778" i="1"/>
  <c r="L779" i="1"/>
  <c r="L780" i="1"/>
  <c r="L781" i="1"/>
  <c r="L782" i="1"/>
  <c r="L783" i="1"/>
  <c r="L784" i="1"/>
  <c r="L785" i="1"/>
  <c r="L738" i="1"/>
  <c r="L739" i="1"/>
  <c r="L740" i="1"/>
  <c r="L741" i="1"/>
  <c r="L742" i="1"/>
  <c r="L743" i="1"/>
  <c r="L744" i="1"/>
  <c r="L745" i="1"/>
  <c r="L746" i="1"/>
  <c r="L747" i="1"/>
  <c r="L748" i="1"/>
  <c r="L749" i="1"/>
  <c r="L750" i="1"/>
  <c r="L751" i="1"/>
  <c r="L752" i="1"/>
  <c r="L753" i="1"/>
  <c r="L754" i="1"/>
  <c r="L755" i="1"/>
  <c r="L756" i="1"/>
  <c r="L757" i="1"/>
  <c r="L758" i="1"/>
  <c r="L759" i="1"/>
  <c r="L760" i="1"/>
  <c r="L761" i="1"/>
  <c r="L714" i="1"/>
  <c r="L715" i="1"/>
  <c r="L716" i="1"/>
  <c r="L717" i="1"/>
  <c r="L718" i="1"/>
  <c r="L719" i="1"/>
  <c r="L720" i="1"/>
  <c r="L721" i="1"/>
  <c r="L722" i="1"/>
  <c r="L723" i="1"/>
  <c r="L724" i="1"/>
  <c r="L725" i="1"/>
  <c r="L726" i="1"/>
  <c r="L727" i="1"/>
  <c r="L728" i="1"/>
  <c r="L729" i="1"/>
  <c r="L730" i="1"/>
  <c r="L731" i="1"/>
  <c r="L732" i="1"/>
  <c r="L733" i="1"/>
  <c r="L734" i="1"/>
  <c r="L735" i="1"/>
  <c r="L736" i="1"/>
  <c r="L737" i="1"/>
  <c r="L690" i="1"/>
  <c r="L691" i="1"/>
  <c r="L692" i="1"/>
  <c r="L693" i="1"/>
  <c r="L694" i="1"/>
  <c r="L695" i="1"/>
  <c r="L696" i="1"/>
  <c r="L697" i="1"/>
  <c r="L698" i="1"/>
  <c r="L699" i="1"/>
  <c r="L700" i="1"/>
  <c r="L701" i="1"/>
  <c r="L702" i="1"/>
  <c r="L703" i="1"/>
  <c r="L704" i="1"/>
  <c r="L705" i="1"/>
  <c r="L706" i="1"/>
  <c r="L707" i="1"/>
  <c r="L708" i="1"/>
  <c r="L709" i="1"/>
  <c r="L710" i="1"/>
  <c r="L711" i="1"/>
  <c r="L712" i="1"/>
  <c r="L713" i="1"/>
  <c r="L666" i="1"/>
  <c r="L667" i="1"/>
  <c r="L668" i="1"/>
  <c r="L669" i="1"/>
  <c r="L670" i="1"/>
  <c r="L671" i="1"/>
  <c r="L672" i="1"/>
  <c r="L673" i="1"/>
  <c r="L674" i="1"/>
  <c r="L675" i="1"/>
  <c r="L676" i="1"/>
  <c r="L677" i="1"/>
  <c r="L678" i="1"/>
  <c r="L679" i="1"/>
  <c r="L680" i="1"/>
  <c r="L681" i="1"/>
  <c r="L682" i="1"/>
  <c r="L683" i="1"/>
  <c r="L684" i="1"/>
  <c r="L685" i="1"/>
  <c r="L686" i="1"/>
  <c r="L687" i="1"/>
  <c r="L688" i="1"/>
  <c r="L689" i="1"/>
  <c r="L642" i="1"/>
  <c r="L643" i="1"/>
  <c r="L644" i="1"/>
  <c r="L645" i="1"/>
  <c r="L646" i="1"/>
  <c r="L647" i="1"/>
  <c r="L648" i="1"/>
  <c r="L649" i="1"/>
  <c r="L650" i="1"/>
  <c r="L651" i="1"/>
  <c r="L652" i="1"/>
  <c r="L653" i="1"/>
  <c r="L654" i="1"/>
  <c r="L655" i="1"/>
  <c r="L656" i="1"/>
  <c r="L657" i="1"/>
  <c r="L658" i="1"/>
  <c r="L659" i="1"/>
  <c r="L660" i="1"/>
  <c r="L661" i="1"/>
  <c r="L662" i="1"/>
  <c r="L663" i="1"/>
  <c r="L664" i="1"/>
  <c r="L665" i="1"/>
  <c r="L618" i="1"/>
  <c r="L619" i="1"/>
  <c r="L620" i="1"/>
  <c r="L621" i="1"/>
  <c r="L622" i="1"/>
  <c r="L623" i="1"/>
  <c r="L624" i="1"/>
  <c r="L625" i="1"/>
  <c r="L626" i="1"/>
  <c r="L627" i="1"/>
  <c r="L628" i="1"/>
  <c r="L629" i="1"/>
  <c r="L630" i="1"/>
  <c r="L631" i="1"/>
  <c r="L632" i="1"/>
  <c r="L633" i="1"/>
  <c r="L634" i="1"/>
  <c r="L635" i="1"/>
  <c r="L636" i="1"/>
  <c r="L637" i="1"/>
  <c r="L638" i="1"/>
  <c r="L639" i="1"/>
  <c r="L640" i="1"/>
  <c r="L641" i="1"/>
  <c r="L594" i="1"/>
  <c r="L595" i="1"/>
  <c r="L596" i="1"/>
  <c r="L597" i="1"/>
  <c r="L598" i="1"/>
  <c r="L599" i="1"/>
  <c r="L600" i="1"/>
  <c r="L601" i="1"/>
  <c r="L602" i="1"/>
  <c r="L603" i="1"/>
  <c r="L604" i="1"/>
  <c r="L605" i="1"/>
  <c r="L606" i="1"/>
  <c r="L607" i="1"/>
  <c r="L608" i="1"/>
  <c r="L609" i="1"/>
  <c r="L610" i="1"/>
  <c r="L611" i="1"/>
  <c r="L612" i="1"/>
  <c r="L613" i="1"/>
  <c r="L614" i="1"/>
  <c r="L615" i="1"/>
  <c r="L616" i="1"/>
  <c r="L617" i="1"/>
  <c r="L570" i="1"/>
  <c r="L571" i="1"/>
  <c r="L572" i="1"/>
  <c r="L573" i="1"/>
  <c r="L574" i="1"/>
  <c r="L575" i="1"/>
  <c r="L576" i="1"/>
  <c r="L577" i="1"/>
  <c r="L578" i="1"/>
  <c r="L579" i="1"/>
  <c r="L580" i="1"/>
  <c r="L581" i="1"/>
  <c r="L582" i="1"/>
  <c r="L583" i="1"/>
  <c r="L584" i="1"/>
  <c r="L585" i="1"/>
  <c r="L586" i="1"/>
  <c r="L587" i="1"/>
  <c r="L588" i="1"/>
  <c r="L589" i="1"/>
  <c r="L590" i="1"/>
  <c r="L591" i="1"/>
  <c r="L592" i="1"/>
  <c r="L593" i="1"/>
  <c r="L546" i="1"/>
  <c r="L547" i="1"/>
  <c r="L548" i="1"/>
  <c r="L549" i="1"/>
  <c r="L550" i="1"/>
  <c r="L551" i="1"/>
  <c r="L552" i="1"/>
  <c r="L553" i="1"/>
  <c r="L554" i="1"/>
  <c r="L555" i="1"/>
  <c r="L556" i="1"/>
  <c r="L557" i="1"/>
  <c r="L558" i="1"/>
  <c r="L559" i="1"/>
  <c r="L560" i="1"/>
  <c r="L561" i="1"/>
  <c r="L562" i="1"/>
  <c r="L563" i="1"/>
  <c r="L564" i="1"/>
  <c r="L565" i="1"/>
  <c r="L566" i="1"/>
  <c r="L567" i="1"/>
  <c r="L568" i="1"/>
  <c r="L569" i="1"/>
  <c r="L522" i="1"/>
  <c r="L523" i="1"/>
  <c r="L524" i="1"/>
  <c r="L525" i="1"/>
  <c r="L526" i="1"/>
  <c r="L527" i="1"/>
  <c r="L528" i="1"/>
  <c r="L529" i="1"/>
  <c r="L530" i="1"/>
  <c r="L531" i="1"/>
  <c r="L532" i="1"/>
  <c r="L533" i="1"/>
  <c r="L534" i="1"/>
  <c r="L535" i="1"/>
  <c r="L536" i="1"/>
  <c r="L537" i="1"/>
  <c r="L538" i="1"/>
  <c r="L539" i="1"/>
  <c r="L540" i="1"/>
  <c r="L541" i="1"/>
  <c r="L542" i="1"/>
  <c r="L543" i="1"/>
  <c r="L544" i="1"/>
  <c r="L545" i="1"/>
  <c r="L498" i="1"/>
  <c r="L499" i="1"/>
  <c r="L500" i="1"/>
  <c r="L501" i="1"/>
  <c r="L502" i="1"/>
  <c r="L503" i="1"/>
  <c r="L504" i="1"/>
  <c r="L505" i="1"/>
  <c r="L506" i="1"/>
  <c r="L507" i="1"/>
  <c r="L508" i="1"/>
  <c r="L509" i="1"/>
  <c r="L510" i="1"/>
  <c r="L511" i="1"/>
  <c r="L512" i="1"/>
  <c r="L513" i="1"/>
  <c r="L514" i="1"/>
  <c r="L515" i="1"/>
  <c r="L516" i="1"/>
  <c r="L517" i="1"/>
  <c r="L518" i="1"/>
  <c r="L519" i="1"/>
  <c r="L520" i="1"/>
  <c r="L521" i="1"/>
  <c r="L474" i="1"/>
  <c r="L475" i="1"/>
  <c r="L476" i="1"/>
  <c r="L477" i="1"/>
  <c r="L478" i="1"/>
  <c r="L479" i="1"/>
  <c r="L480" i="1"/>
  <c r="L481" i="1"/>
  <c r="L482" i="1"/>
  <c r="L483" i="1"/>
  <c r="L484" i="1"/>
  <c r="L485" i="1"/>
  <c r="L486" i="1"/>
  <c r="L487" i="1"/>
  <c r="L488" i="1"/>
  <c r="L489" i="1"/>
  <c r="L490" i="1"/>
  <c r="L491" i="1"/>
  <c r="L492" i="1"/>
  <c r="L493" i="1"/>
  <c r="L494" i="1"/>
  <c r="L495" i="1"/>
  <c r="L496" i="1"/>
  <c r="L497" i="1"/>
  <c r="L450" i="1"/>
  <c r="L451" i="1"/>
  <c r="L452" i="1"/>
  <c r="L453" i="1"/>
  <c r="L454" i="1"/>
  <c r="L455" i="1"/>
  <c r="L456" i="1"/>
  <c r="L457" i="1"/>
  <c r="L458" i="1"/>
  <c r="L459" i="1"/>
  <c r="L460" i="1"/>
  <c r="L461" i="1"/>
  <c r="L462" i="1"/>
  <c r="L463" i="1"/>
  <c r="L464" i="1"/>
  <c r="L465" i="1"/>
  <c r="L466" i="1"/>
  <c r="L467" i="1"/>
  <c r="L468" i="1"/>
  <c r="L469" i="1"/>
  <c r="L470" i="1"/>
  <c r="L471" i="1"/>
  <c r="L472" i="1"/>
  <c r="L473" i="1"/>
  <c r="L426" i="1"/>
  <c r="L427" i="1"/>
  <c r="L428" i="1"/>
  <c r="L429" i="1"/>
  <c r="L430" i="1"/>
  <c r="L431" i="1"/>
  <c r="L432" i="1"/>
  <c r="L433" i="1"/>
  <c r="L434" i="1"/>
  <c r="L435" i="1"/>
  <c r="L436" i="1"/>
  <c r="L437" i="1"/>
  <c r="L438" i="1"/>
  <c r="L439" i="1"/>
  <c r="L440" i="1"/>
  <c r="L441" i="1"/>
  <c r="L442" i="1"/>
  <c r="L443" i="1"/>
  <c r="L444" i="1"/>
  <c r="L445" i="1"/>
  <c r="L446" i="1"/>
  <c r="L447" i="1"/>
  <c r="L448" i="1"/>
  <c r="L449" i="1"/>
  <c r="L402" i="1"/>
  <c r="L403" i="1"/>
  <c r="L404" i="1"/>
  <c r="L405" i="1"/>
  <c r="L406" i="1"/>
  <c r="L407" i="1"/>
  <c r="L408" i="1"/>
  <c r="L409" i="1"/>
  <c r="L410" i="1"/>
  <c r="L411" i="1"/>
  <c r="L412" i="1"/>
  <c r="L413" i="1"/>
  <c r="L414" i="1"/>
  <c r="L415" i="1"/>
  <c r="L416" i="1"/>
  <c r="L417" i="1"/>
  <c r="L418" i="1"/>
  <c r="L419" i="1"/>
  <c r="L420" i="1"/>
  <c r="L421" i="1"/>
  <c r="L422" i="1"/>
  <c r="L423" i="1"/>
  <c r="L424" i="1"/>
  <c r="L425" i="1"/>
  <c r="L378" i="1"/>
  <c r="L379" i="1"/>
  <c r="L380" i="1"/>
  <c r="L381" i="1"/>
  <c r="L382" i="1"/>
  <c r="L383" i="1"/>
  <c r="L384" i="1"/>
  <c r="L385" i="1"/>
  <c r="L386" i="1"/>
  <c r="L387" i="1"/>
  <c r="L388" i="1"/>
  <c r="L389" i="1"/>
  <c r="L390" i="1"/>
  <c r="L391" i="1"/>
  <c r="L392" i="1"/>
  <c r="L393" i="1"/>
  <c r="L394" i="1"/>
  <c r="L395" i="1"/>
  <c r="L396" i="1"/>
  <c r="L397" i="1"/>
  <c r="L398" i="1"/>
  <c r="L399" i="1"/>
  <c r="L400" i="1"/>
  <c r="L401" i="1"/>
  <c r="L354" i="1"/>
  <c r="L355" i="1"/>
  <c r="L356" i="1"/>
  <c r="L357" i="1"/>
  <c r="L358" i="1"/>
  <c r="L359" i="1"/>
  <c r="L360" i="1"/>
  <c r="L361" i="1"/>
  <c r="L362" i="1"/>
  <c r="L363" i="1"/>
  <c r="L364" i="1"/>
  <c r="L365" i="1"/>
  <c r="L366" i="1"/>
  <c r="L367" i="1"/>
  <c r="L368" i="1"/>
  <c r="L369" i="1"/>
  <c r="L370" i="1"/>
  <c r="L371" i="1"/>
  <c r="L372" i="1"/>
  <c r="L373" i="1"/>
  <c r="L374" i="1"/>
  <c r="L375" i="1"/>
  <c r="L376" i="1"/>
  <c r="L377" i="1"/>
  <c r="L330" i="1"/>
  <c r="L331" i="1"/>
  <c r="L332" i="1"/>
  <c r="L333" i="1"/>
  <c r="L334" i="1"/>
  <c r="L335" i="1"/>
  <c r="L336" i="1"/>
  <c r="L337" i="1"/>
  <c r="L338" i="1"/>
  <c r="L339" i="1"/>
  <c r="L340" i="1"/>
  <c r="L341" i="1"/>
  <c r="L342" i="1"/>
  <c r="L343" i="1"/>
  <c r="L344" i="1"/>
  <c r="L345" i="1"/>
  <c r="L346" i="1"/>
  <c r="L347" i="1"/>
  <c r="L348" i="1"/>
  <c r="L349" i="1"/>
  <c r="L350" i="1"/>
  <c r="L351" i="1"/>
  <c r="L352" i="1"/>
  <c r="L353" i="1"/>
  <c r="L306" i="1"/>
  <c r="L307" i="1"/>
  <c r="L308" i="1"/>
  <c r="L309" i="1"/>
  <c r="L310" i="1"/>
  <c r="L311" i="1"/>
  <c r="L312" i="1"/>
  <c r="L313" i="1"/>
  <c r="L314" i="1"/>
  <c r="L315" i="1"/>
  <c r="L316" i="1"/>
  <c r="L317" i="1"/>
  <c r="L318" i="1"/>
  <c r="L319" i="1"/>
  <c r="L320" i="1"/>
  <c r="L321" i="1"/>
  <c r="L322" i="1"/>
  <c r="L323" i="1"/>
  <c r="L324" i="1"/>
  <c r="L325" i="1"/>
  <c r="L326" i="1"/>
  <c r="L327" i="1"/>
  <c r="L328" i="1"/>
  <c r="L329" i="1"/>
  <c r="L282" i="1"/>
  <c r="L283" i="1"/>
  <c r="L284" i="1"/>
  <c r="L285" i="1"/>
  <c r="L286" i="1"/>
  <c r="L287" i="1"/>
  <c r="L288" i="1"/>
  <c r="L289" i="1"/>
  <c r="L290" i="1"/>
  <c r="L291" i="1"/>
  <c r="L292" i="1"/>
  <c r="L293" i="1"/>
  <c r="L294" i="1"/>
  <c r="L295" i="1"/>
  <c r="L296" i="1"/>
  <c r="L297" i="1"/>
  <c r="L298" i="1"/>
  <c r="L299" i="1"/>
  <c r="L300" i="1"/>
  <c r="L301" i="1"/>
  <c r="L302" i="1"/>
  <c r="L303" i="1"/>
  <c r="L304" i="1"/>
  <c r="L305" i="1"/>
  <c r="L258" i="1"/>
  <c r="L259" i="1"/>
  <c r="L260" i="1"/>
  <c r="L261" i="1"/>
  <c r="L262" i="1"/>
  <c r="L263" i="1"/>
  <c r="L264" i="1"/>
  <c r="L265" i="1"/>
  <c r="L266" i="1"/>
  <c r="L267" i="1"/>
  <c r="L268" i="1"/>
  <c r="L269" i="1"/>
  <c r="L270" i="1"/>
  <c r="L271" i="1"/>
  <c r="L272" i="1"/>
  <c r="L273" i="1"/>
  <c r="L274" i="1"/>
  <c r="L275" i="1"/>
  <c r="L276" i="1"/>
  <c r="L277" i="1"/>
  <c r="L278" i="1"/>
  <c r="L279" i="1"/>
  <c r="L280" i="1"/>
  <c r="L281" i="1"/>
  <c r="L234" i="1"/>
  <c r="L235" i="1"/>
  <c r="L236" i="1"/>
  <c r="L237" i="1"/>
  <c r="L238" i="1"/>
  <c r="L239" i="1"/>
  <c r="L240" i="1"/>
  <c r="L241" i="1"/>
  <c r="L242" i="1"/>
  <c r="L243" i="1"/>
  <c r="L244" i="1"/>
  <c r="L245" i="1"/>
  <c r="L246" i="1"/>
  <c r="L247" i="1"/>
  <c r="L248" i="1"/>
  <c r="L249" i="1"/>
  <c r="L250" i="1"/>
  <c r="L251" i="1"/>
  <c r="L252" i="1"/>
  <c r="L253" i="1"/>
  <c r="L254" i="1"/>
  <c r="L255" i="1"/>
  <c r="L256" i="1"/>
  <c r="L257" i="1"/>
  <c r="L210" i="1"/>
  <c r="L211" i="1"/>
  <c r="L212" i="1"/>
  <c r="L213" i="1"/>
  <c r="L214" i="1"/>
  <c r="L215" i="1"/>
  <c r="L216" i="1"/>
  <c r="L217" i="1"/>
  <c r="L218" i="1"/>
  <c r="L219" i="1"/>
  <c r="L220" i="1"/>
  <c r="L221" i="1"/>
  <c r="L222" i="1"/>
  <c r="L223" i="1"/>
  <c r="L224" i="1"/>
  <c r="L225" i="1"/>
  <c r="L226" i="1"/>
  <c r="L227" i="1"/>
  <c r="L228" i="1"/>
  <c r="L229" i="1"/>
  <c r="L230" i="1"/>
  <c r="L231" i="1"/>
  <c r="L232" i="1"/>
  <c r="L233" i="1"/>
  <c r="L186" i="1"/>
  <c r="L187" i="1"/>
  <c r="L188" i="1"/>
  <c r="L189" i="1"/>
  <c r="L190" i="1"/>
  <c r="L191" i="1"/>
  <c r="L192" i="1"/>
  <c r="L193" i="1"/>
  <c r="L194" i="1"/>
  <c r="L195" i="1"/>
  <c r="L196" i="1"/>
  <c r="L197" i="1"/>
  <c r="L198" i="1"/>
  <c r="L199" i="1"/>
  <c r="L200" i="1"/>
  <c r="L201" i="1"/>
  <c r="L202" i="1"/>
  <c r="L203" i="1"/>
  <c r="L204" i="1"/>
  <c r="L205" i="1"/>
  <c r="L206" i="1"/>
  <c r="L207" i="1"/>
  <c r="L208" i="1"/>
  <c r="L209" i="1"/>
  <c r="L162" i="1"/>
  <c r="L163" i="1"/>
  <c r="L164" i="1"/>
  <c r="L165" i="1"/>
  <c r="L166" i="1"/>
  <c r="L167" i="1"/>
  <c r="L168" i="1"/>
  <c r="L169" i="1"/>
  <c r="L170" i="1"/>
  <c r="L171" i="1"/>
  <c r="L172" i="1"/>
  <c r="L173" i="1"/>
  <c r="L174" i="1"/>
  <c r="L175" i="1"/>
  <c r="L176" i="1"/>
  <c r="L177" i="1"/>
  <c r="L178" i="1"/>
  <c r="L179" i="1"/>
  <c r="L180" i="1"/>
  <c r="L181" i="1"/>
  <c r="L182" i="1"/>
  <c r="L183" i="1"/>
  <c r="L184" i="1"/>
  <c r="L185" i="1"/>
  <c r="L138" i="1"/>
  <c r="L139" i="1"/>
  <c r="L140" i="1"/>
  <c r="L141" i="1"/>
  <c r="L142" i="1"/>
  <c r="L143" i="1"/>
  <c r="L144" i="1"/>
  <c r="L145" i="1"/>
  <c r="L146" i="1"/>
  <c r="L147" i="1"/>
  <c r="L148" i="1"/>
  <c r="L149" i="1"/>
  <c r="L150" i="1"/>
  <c r="L151" i="1"/>
  <c r="L152" i="1"/>
  <c r="L153" i="1"/>
  <c r="L154" i="1"/>
  <c r="L155" i="1"/>
  <c r="L156" i="1"/>
  <c r="L157" i="1"/>
  <c r="L158" i="1"/>
  <c r="L159" i="1"/>
  <c r="L160" i="1"/>
  <c r="L161" i="1"/>
  <c r="L114" i="1"/>
  <c r="L115" i="1"/>
  <c r="L116" i="1"/>
  <c r="L117" i="1"/>
  <c r="L118" i="1"/>
  <c r="L119" i="1"/>
  <c r="L120" i="1"/>
  <c r="L121" i="1"/>
  <c r="L122" i="1"/>
  <c r="L123" i="1"/>
  <c r="L124" i="1"/>
  <c r="L125" i="1"/>
  <c r="L126" i="1"/>
  <c r="L127" i="1"/>
  <c r="L128" i="1"/>
  <c r="L129" i="1"/>
  <c r="L130" i="1"/>
  <c r="L131" i="1"/>
  <c r="L132" i="1"/>
  <c r="L133" i="1"/>
  <c r="L134" i="1"/>
  <c r="L135" i="1"/>
  <c r="L136" i="1"/>
  <c r="L137" i="1"/>
  <c r="L90" i="1"/>
  <c r="L91" i="1"/>
  <c r="L92" i="1"/>
  <c r="L93" i="1"/>
  <c r="L94" i="1"/>
  <c r="L95" i="1"/>
  <c r="L96" i="1"/>
  <c r="L97" i="1"/>
  <c r="L98" i="1"/>
  <c r="L99" i="1"/>
  <c r="L100" i="1"/>
  <c r="L101" i="1"/>
  <c r="L102" i="1"/>
  <c r="L103" i="1"/>
  <c r="L104" i="1"/>
  <c r="L105" i="1"/>
  <c r="L106" i="1"/>
  <c r="L107" i="1"/>
  <c r="L108" i="1"/>
  <c r="L109" i="1"/>
  <c r="L110" i="1"/>
  <c r="L111" i="1"/>
  <c r="L112" i="1"/>
  <c r="L113" i="1"/>
  <c r="L66" i="1"/>
  <c r="L67" i="1"/>
  <c r="L68" i="1"/>
  <c r="L69" i="1"/>
  <c r="L70" i="1"/>
  <c r="L71" i="1"/>
  <c r="L72" i="1"/>
  <c r="L73" i="1"/>
  <c r="L74" i="1"/>
  <c r="L75" i="1"/>
  <c r="L76" i="1"/>
  <c r="L77" i="1"/>
  <c r="L78" i="1"/>
  <c r="L79" i="1"/>
  <c r="L80" i="1"/>
  <c r="L81" i="1"/>
  <c r="L82" i="1"/>
  <c r="L83" i="1"/>
  <c r="L84" i="1"/>
  <c r="L85" i="1"/>
  <c r="L86" i="1"/>
  <c r="L87" i="1"/>
  <c r="L88" i="1"/>
  <c r="L89" i="1"/>
  <c r="L42" i="1"/>
  <c r="L43" i="1"/>
  <c r="L44" i="1"/>
  <c r="L45" i="1"/>
  <c r="L46" i="1"/>
  <c r="L47" i="1"/>
  <c r="L48" i="1"/>
  <c r="L49" i="1"/>
  <c r="L50" i="1"/>
  <c r="L51" i="1"/>
  <c r="L52" i="1"/>
  <c r="L53" i="1"/>
  <c r="L54" i="1"/>
  <c r="L55" i="1"/>
  <c r="L56" i="1"/>
  <c r="L57" i="1"/>
  <c r="L58" i="1"/>
  <c r="L59" i="1"/>
  <c r="L60" i="1"/>
  <c r="L61" i="1"/>
  <c r="L62" i="1"/>
  <c r="L63" i="1"/>
  <c r="L64" i="1"/>
  <c r="L65" i="1"/>
  <c r="L18" i="1"/>
  <c r="L19" i="1"/>
  <c r="L20" i="1"/>
  <c r="L21" i="1"/>
  <c r="L22" i="1"/>
  <c r="L23" i="1"/>
  <c r="L24" i="1"/>
  <c r="L25" i="1"/>
  <c r="L26" i="1"/>
  <c r="L27" i="1"/>
  <c r="L28" i="1"/>
  <c r="L29" i="1"/>
  <c r="L30" i="1"/>
  <c r="L31" i="1"/>
  <c r="L32" i="1"/>
  <c r="L33" i="1"/>
  <c r="L34" i="1"/>
  <c r="L35" i="1"/>
  <c r="L36" i="1"/>
  <c r="L37" i="1"/>
  <c r="L38" i="1"/>
  <c r="L39" i="1"/>
  <c r="L40" i="1"/>
  <c r="L41" i="1"/>
  <c r="L3" i="1"/>
  <c r="L4" i="1"/>
  <c r="L5" i="1"/>
  <c r="L6" i="1"/>
  <c r="L7" i="1"/>
  <c r="L8" i="1"/>
  <c r="L9" i="1"/>
  <c r="L10" i="1"/>
  <c r="L11" i="1"/>
  <c r="L12" i="1"/>
  <c r="L13" i="1"/>
  <c r="L14" i="1"/>
  <c r="L15" i="1"/>
  <c r="L16" i="1"/>
  <c r="L17" i="1"/>
  <c r="K978" i="1"/>
  <c r="K979" i="1"/>
  <c r="K980" i="1"/>
  <c r="K981" i="1"/>
  <c r="K982" i="1"/>
  <c r="K983" i="1"/>
  <c r="K984" i="1"/>
  <c r="K985" i="1"/>
  <c r="K986" i="1"/>
  <c r="K987" i="1"/>
  <c r="K988" i="1"/>
  <c r="K989" i="1"/>
  <c r="K990" i="1"/>
  <c r="K991" i="1"/>
  <c r="K992" i="1"/>
  <c r="K993" i="1"/>
  <c r="K994" i="1"/>
  <c r="K995" i="1"/>
  <c r="K996" i="1"/>
  <c r="K997" i="1"/>
  <c r="K998" i="1"/>
  <c r="K999" i="1"/>
  <c r="K1000" i="1"/>
  <c r="K1001" i="1"/>
  <c r="K954" i="1"/>
  <c r="K955" i="1"/>
  <c r="K956" i="1"/>
  <c r="K957" i="1"/>
  <c r="K958" i="1"/>
  <c r="K959" i="1"/>
  <c r="K960" i="1"/>
  <c r="K961" i="1"/>
  <c r="K962" i="1"/>
  <c r="K963" i="1"/>
  <c r="K964" i="1"/>
  <c r="K965" i="1"/>
  <c r="K966" i="1"/>
  <c r="K967" i="1"/>
  <c r="K968" i="1"/>
  <c r="K969" i="1"/>
  <c r="K970" i="1"/>
  <c r="K971" i="1"/>
  <c r="K972" i="1"/>
  <c r="K973" i="1"/>
  <c r="K974" i="1"/>
  <c r="K975" i="1"/>
  <c r="K976" i="1"/>
  <c r="K977" i="1"/>
  <c r="K930" i="1"/>
  <c r="K931" i="1"/>
  <c r="K932" i="1"/>
  <c r="K933" i="1"/>
  <c r="K934" i="1"/>
  <c r="K935" i="1"/>
  <c r="K936" i="1"/>
  <c r="K937" i="1"/>
  <c r="K938" i="1"/>
  <c r="K939" i="1"/>
  <c r="K940" i="1"/>
  <c r="K941" i="1"/>
  <c r="K942" i="1"/>
  <c r="K943" i="1"/>
  <c r="K944" i="1"/>
  <c r="K945" i="1"/>
  <c r="K946" i="1"/>
  <c r="K947" i="1"/>
  <c r="K948" i="1"/>
  <c r="K949" i="1"/>
  <c r="K950" i="1"/>
  <c r="K951" i="1"/>
  <c r="K952" i="1"/>
  <c r="K953" i="1"/>
  <c r="K906" i="1"/>
  <c r="K907" i="1"/>
  <c r="K908" i="1"/>
  <c r="K909" i="1"/>
  <c r="K910" i="1"/>
  <c r="K911" i="1"/>
  <c r="K912" i="1"/>
  <c r="K913" i="1"/>
  <c r="K914" i="1"/>
  <c r="K915" i="1"/>
  <c r="K916" i="1"/>
  <c r="K917" i="1"/>
  <c r="K918" i="1"/>
  <c r="K919" i="1"/>
  <c r="K920" i="1"/>
  <c r="K921" i="1"/>
  <c r="K922" i="1"/>
  <c r="K923" i="1"/>
  <c r="K924" i="1"/>
  <c r="K925" i="1"/>
  <c r="K926" i="1"/>
  <c r="K927" i="1"/>
  <c r="K928" i="1"/>
  <c r="K929" i="1"/>
  <c r="K882" i="1"/>
  <c r="K883" i="1"/>
  <c r="K884" i="1"/>
  <c r="K885" i="1"/>
  <c r="K886" i="1"/>
  <c r="K887" i="1"/>
  <c r="K888" i="1"/>
  <c r="K889" i="1"/>
  <c r="K890" i="1"/>
  <c r="K891" i="1"/>
  <c r="K892" i="1"/>
  <c r="K893" i="1"/>
  <c r="K894" i="1"/>
  <c r="K895" i="1"/>
  <c r="K896" i="1"/>
  <c r="K897" i="1"/>
  <c r="K898" i="1"/>
  <c r="K899" i="1"/>
  <c r="K900" i="1"/>
  <c r="K901" i="1"/>
  <c r="K902" i="1"/>
  <c r="K903" i="1"/>
  <c r="K904" i="1"/>
  <c r="K905" i="1"/>
  <c r="K858" i="1"/>
  <c r="K859" i="1"/>
  <c r="K860" i="1"/>
  <c r="K861" i="1"/>
  <c r="K862" i="1"/>
  <c r="K863" i="1"/>
  <c r="K864" i="1"/>
  <c r="K865" i="1"/>
  <c r="K866" i="1"/>
  <c r="K867" i="1"/>
  <c r="K868" i="1"/>
  <c r="K869" i="1"/>
  <c r="K870" i="1"/>
  <c r="K871" i="1"/>
  <c r="K872" i="1"/>
  <c r="K873" i="1"/>
  <c r="K874" i="1"/>
  <c r="K875" i="1"/>
  <c r="K876" i="1"/>
  <c r="K877" i="1"/>
  <c r="K878" i="1"/>
  <c r="K879" i="1"/>
  <c r="K880" i="1"/>
  <c r="K881" i="1"/>
  <c r="K834" i="1"/>
  <c r="K835" i="1"/>
  <c r="K836" i="1"/>
  <c r="K837" i="1"/>
  <c r="K838" i="1"/>
  <c r="K839" i="1"/>
  <c r="K840" i="1"/>
  <c r="K841" i="1"/>
  <c r="K842" i="1"/>
  <c r="K843" i="1"/>
  <c r="K844" i="1"/>
  <c r="K845" i="1"/>
  <c r="K846" i="1"/>
  <c r="K847" i="1"/>
  <c r="K848" i="1"/>
  <c r="K849" i="1"/>
  <c r="K850" i="1"/>
  <c r="K851" i="1"/>
  <c r="K852" i="1"/>
  <c r="K853" i="1"/>
  <c r="K854" i="1"/>
  <c r="K855" i="1"/>
  <c r="K856" i="1"/>
  <c r="K857" i="1"/>
  <c r="K810" i="1"/>
  <c r="K811" i="1"/>
  <c r="K812" i="1"/>
  <c r="K813" i="1"/>
  <c r="K814" i="1"/>
  <c r="K815" i="1"/>
  <c r="K816" i="1"/>
  <c r="K817" i="1"/>
  <c r="K818" i="1"/>
  <c r="K819" i="1"/>
  <c r="K820" i="1"/>
  <c r="K821" i="1"/>
  <c r="K822" i="1"/>
  <c r="K823" i="1"/>
  <c r="K824" i="1"/>
  <c r="K825" i="1"/>
  <c r="K826" i="1"/>
  <c r="K827" i="1"/>
  <c r="K828" i="1"/>
  <c r="K829" i="1"/>
  <c r="K830" i="1"/>
  <c r="K831" i="1"/>
  <c r="K832" i="1"/>
  <c r="K833" i="1"/>
  <c r="K786" i="1"/>
  <c r="K787" i="1"/>
  <c r="K788" i="1"/>
  <c r="K789" i="1"/>
  <c r="K790" i="1"/>
  <c r="K791" i="1"/>
  <c r="K792" i="1"/>
  <c r="K793" i="1"/>
  <c r="K794" i="1"/>
  <c r="K795" i="1"/>
  <c r="K796" i="1"/>
  <c r="K797" i="1"/>
  <c r="K798" i="1"/>
  <c r="K799" i="1"/>
  <c r="K800" i="1"/>
  <c r="K801" i="1"/>
  <c r="K802" i="1"/>
  <c r="K803" i="1"/>
  <c r="K804" i="1"/>
  <c r="K805" i="1"/>
  <c r="K806" i="1"/>
  <c r="K807" i="1"/>
  <c r="K808" i="1"/>
  <c r="K809" i="1"/>
  <c r="K762" i="1"/>
  <c r="K763" i="1"/>
  <c r="K764" i="1"/>
  <c r="K765" i="1"/>
  <c r="K766" i="1"/>
  <c r="K767" i="1"/>
  <c r="K768" i="1"/>
  <c r="K769" i="1"/>
  <c r="K770" i="1"/>
  <c r="K771" i="1"/>
  <c r="K772" i="1"/>
  <c r="K773" i="1"/>
  <c r="K774" i="1"/>
  <c r="K775" i="1"/>
  <c r="K776" i="1"/>
  <c r="K777" i="1"/>
  <c r="K778" i="1"/>
  <c r="K779" i="1"/>
  <c r="K780" i="1"/>
  <c r="K781" i="1"/>
  <c r="K782" i="1"/>
  <c r="K783" i="1"/>
  <c r="K784" i="1"/>
  <c r="K785" i="1"/>
  <c r="K738" i="1"/>
  <c r="K739" i="1"/>
  <c r="K740" i="1"/>
  <c r="K741" i="1"/>
  <c r="K742" i="1"/>
  <c r="K743" i="1"/>
  <c r="K744" i="1"/>
  <c r="K745" i="1"/>
  <c r="K746" i="1"/>
  <c r="K747" i="1"/>
  <c r="K748" i="1"/>
  <c r="K749" i="1"/>
  <c r="K750" i="1"/>
  <c r="K751" i="1"/>
  <c r="K752" i="1"/>
  <c r="K753" i="1"/>
  <c r="K754" i="1"/>
  <c r="K755" i="1"/>
  <c r="K756" i="1"/>
  <c r="K757" i="1"/>
  <c r="K758" i="1"/>
  <c r="K759" i="1"/>
  <c r="K760" i="1"/>
  <c r="K761" i="1"/>
  <c r="K714" i="1"/>
  <c r="K715" i="1"/>
  <c r="K716" i="1"/>
  <c r="K717" i="1"/>
  <c r="K718" i="1"/>
  <c r="K719" i="1"/>
  <c r="K720" i="1"/>
  <c r="K721" i="1"/>
  <c r="K722" i="1"/>
  <c r="K723" i="1"/>
  <c r="K724" i="1"/>
  <c r="K725" i="1"/>
  <c r="K726" i="1"/>
  <c r="K727" i="1"/>
  <c r="K728" i="1"/>
  <c r="K729" i="1"/>
  <c r="K730" i="1"/>
  <c r="K731" i="1"/>
  <c r="K732" i="1"/>
  <c r="K733" i="1"/>
  <c r="K734" i="1"/>
  <c r="K735" i="1"/>
  <c r="K736" i="1"/>
  <c r="K737" i="1"/>
  <c r="K690" i="1"/>
  <c r="K691" i="1"/>
  <c r="K692" i="1"/>
  <c r="K693" i="1"/>
  <c r="K694" i="1"/>
  <c r="K695" i="1"/>
  <c r="K696" i="1"/>
  <c r="K697" i="1"/>
  <c r="K698" i="1"/>
  <c r="K699" i="1"/>
  <c r="K700" i="1"/>
  <c r="K701" i="1"/>
  <c r="K702" i="1"/>
  <c r="K703" i="1"/>
  <c r="K704" i="1"/>
  <c r="K705" i="1"/>
  <c r="K706" i="1"/>
  <c r="K707" i="1"/>
  <c r="K708" i="1"/>
  <c r="K709" i="1"/>
  <c r="K710" i="1"/>
  <c r="K711" i="1"/>
  <c r="K712" i="1"/>
  <c r="K713" i="1"/>
  <c r="K666" i="1"/>
  <c r="K667" i="1"/>
  <c r="K668" i="1"/>
  <c r="K669" i="1"/>
  <c r="K670" i="1"/>
  <c r="K671" i="1"/>
  <c r="K672" i="1"/>
  <c r="K673" i="1"/>
  <c r="K674" i="1"/>
  <c r="K675" i="1"/>
  <c r="K676" i="1"/>
  <c r="K677" i="1"/>
  <c r="K678" i="1"/>
  <c r="K679" i="1"/>
  <c r="K680" i="1"/>
  <c r="K681" i="1"/>
  <c r="K682" i="1"/>
  <c r="K683" i="1"/>
  <c r="K684" i="1"/>
  <c r="K685" i="1"/>
  <c r="K686" i="1"/>
  <c r="K687" i="1"/>
  <c r="K688" i="1"/>
  <c r="K689" i="1"/>
  <c r="K642" i="1"/>
  <c r="K643" i="1"/>
  <c r="K644" i="1"/>
  <c r="K645" i="1"/>
  <c r="K646" i="1"/>
  <c r="K647" i="1"/>
  <c r="K648" i="1"/>
  <c r="K649" i="1"/>
  <c r="K650" i="1"/>
  <c r="K651" i="1"/>
  <c r="K652" i="1"/>
  <c r="K653" i="1"/>
  <c r="K654" i="1"/>
  <c r="K655" i="1"/>
  <c r="K656" i="1"/>
  <c r="K657" i="1"/>
  <c r="K658" i="1"/>
  <c r="K659" i="1"/>
  <c r="K660" i="1"/>
  <c r="K661" i="1"/>
  <c r="K662" i="1"/>
  <c r="K663" i="1"/>
  <c r="K664" i="1"/>
  <c r="K665" i="1"/>
  <c r="K618" i="1"/>
  <c r="K619" i="1"/>
  <c r="K620" i="1"/>
  <c r="K621" i="1"/>
  <c r="K622" i="1"/>
  <c r="K623" i="1"/>
  <c r="K624" i="1"/>
  <c r="K625" i="1"/>
  <c r="K626" i="1"/>
  <c r="K627" i="1"/>
  <c r="K628" i="1"/>
  <c r="K629" i="1"/>
  <c r="K630" i="1"/>
  <c r="K631" i="1"/>
  <c r="K632" i="1"/>
  <c r="K633" i="1"/>
  <c r="K634" i="1"/>
  <c r="K635" i="1"/>
  <c r="K636" i="1"/>
  <c r="K637" i="1"/>
  <c r="K638" i="1"/>
  <c r="K639" i="1"/>
  <c r="K640" i="1"/>
  <c r="K641" i="1"/>
  <c r="K594" i="1"/>
  <c r="K595" i="1"/>
  <c r="K596" i="1"/>
  <c r="K597" i="1"/>
  <c r="K598" i="1"/>
  <c r="K599" i="1"/>
  <c r="K600" i="1"/>
  <c r="K601" i="1"/>
  <c r="K602" i="1"/>
  <c r="K603" i="1"/>
  <c r="K604" i="1"/>
  <c r="K605" i="1"/>
  <c r="K606" i="1"/>
  <c r="K607" i="1"/>
  <c r="K608" i="1"/>
  <c r="K609" i="1"/>
  <c r="K610" i="1"/>
  <c r="K611" i="1"/>
  <c r="K612" i="1"/>
  <c r="K613" i="1"/>
  <c r="K614" i="1"/>
  <c r="K615" i="1"/>
  <c r="K616" i="1"/>
  <c r="K617" i="1"/>
  <c r="K570" i="1"/>
  <c r="K571" i="1"/>
  <c r="K572" i="1"/>
  <c r="K573" i="1"/>
  <c r="K574" i="1"/>
  <c r="K575" i="1"/>
  <c r="K576" i="1"/>
  <c r="K577" i="1"/>
  <c r="K578" i="1"/>
  <c r="K579" i="1"/>
  <c r="K580" i="1"/>
  <c r="K581" i="1"/>
  <c r="K582" i="1"/>
  <c r="K583" i="1"/>
  <c r="K584" i="1"/>
  <c r="K585" i="1"/>
  <c r="K586" i="1"/>
  <c r="K587" i="1"/>
  <c r="K588" i="1"/>
  <c r="K589" i="1"/>
  <c r="K590" i="1"/>
  <c r="K591" i="1"/>
  <c r="K592" i="1"/>
  <c r="K593" i="1"/>
  <c r="K546" i="1"/>
  <c r="K547" i="1"/>
  <c r="K548" i="1"/>
  <c r="K549" i="1"/>
  <c r="K550" i="1"/>
  <c r="K551" i="1"/>
  <c r="K552" i="1"/>
  <c r="K553" i="1"/>
  <c r="K554" i="1"/>
  <c r="K555" i="1"/>
  <c r="K556" i="1"/>
  <c r="K557" i="1"/>
  <c r="K558" i="1"/>
  <c r="K559" i="1"/>
  <c r="K560" i="1"/>
  <c r="K561" i="1"/>
  <c r="K562" i="1"/>
  <c r="K563" i="1"/>
  <c r="K564" i="1"/>
  <c r="K565" i="1"/>
  <c r="K566" i="1"/>
  <c r="K567" i="1"/>
  <c r="K568" i="1"/>
  <c r="K569" i="1"/>
  <c r="K522" i="1"/>
  <c r="K523" i="1"/>
  <c r="K524" i="1"/>
  <c r="K525" i="1"/>
  <c r="K526" i="1"/>
  <c r="K527" i="1"/>
  <c r="K528" i="1"/>
  <c r="K529" i="1"/>
  <c r="K530" i="1"/>
  <c r="K531" i="1"/>
  <c r="K532" i="1"/>
  <c r="K533" i="1"/>
  <c r="K534" i="1"/>
  <c r="K535" i="1"/>
  <c r="K536" i="1"/>
  <c r="K537" i="1"/>
  <c r="K538" i="1"/>
  <c r="K539" i="1"/>
  <c r="K540" i="1"/>
  <c r="K541" i="1"/>
  <c r="K542" i="1"/>
  <c r="K543" i="1"/>
  <c r="K544" i="1"/>
  <c r="K545" i="1"/>
  <c r="K498" i="1"/>
  <c r="K499" i="1"/>
  <c r="K500" i="1"/>
  <c r="K501" i="1"/>
  <c r="K502" i="1"/>
  <c r="K503" i="1"/>
  <c r="K504" i="1"/>
  <c r="K505" i="1"/>
  <c r="K506" i="1"/>
  <c r="K507" i="1"/>
  <c r="K508" i="1"/>
  <c r="K509" i="1"/>
  <c r="K510" i="1"/>
  <c r="K511" i="1"/>
  <c r="K512" i="1"/>
  <c r="K513" i="1"/>
  <c r="K514" i="1"/>
  <c r="K515" i="1"/>
  <c r="K516" i="1"/>
  <c r="K517" i="1"/>
  <c r="K518" i="1"/>
  <c r="K519" i="1"/>
  <c r="K520" i="1"/>
  <c r="K521" i="1"/>
  <c r="K474" i="1"/>
  <c r="K475" i="1"/>
  <c r="K476" i="1"/>
  <c r="K477" i="1"/>
  <c r="K478" i="1"/>
  <c r="K479" i="1"/>
  <c r="K480" i="1"/>
  <c r="K481" i="1"/>
  <c r="K482" i="1"/>
  <c r="K483" i="1"/>
  <c r="K484" i="1"/>
  <c r="K485" i="1"/>
  <c r="K486" i="1"/>
  <c r="K487" i="1"/>
  <c r="K488" i="1"/>
  <c r="K489" i="1"/>
  <c r="K490" i="1"/>
  <c r="K491" i="1"/>
  <c r="K492" i="1"/>
  <c r="K493" i="1"/>
  <c r="K494" i="1"/>
  <c r="K495" i="1"/>
  <c r="K496" i="1"/>
  <c r="K497" i="1"/>
  <c r="K450" i="1"/>
  <c r="K451" i="1"/>
  <c r="K452" i="1"/>
  <c r="K453" i="1"/>
  <c r="K454" i="1"/>
  <c r="K455" i="1"/>
  <c r="K456" i="1"/>
  <c r="K457" i="1"/>
  <c r="K458" i="1"/>
  <c r="K459" i="1"/>
  <c r="K460" i="1"/>
  <c r="K461" i="1"/>
  <c r="K462" i="1"/>
  <c r="K463" i="1"/>
  <c r="K464" i="1"/>
  <c r="K465" i="1"/>
  <c r="K466" i="1"/>
  <c r="K467" i="1"/>
  <c r="K468" i="1"/>
  <c r="K469" i="1"/>
  <c r="K470" i="1"/>
  <c r="K471" i="1"/>
  <c r="K472" i="1"/>
  <c r="K473" i="1"/>
  <c r="K426" i="1"/>
  <c r="K427" i="1"/>
  <c r="K428" i="1"/>
  <c r="K429" i="1"/>
  <c r="K430" i="1"/>
  <c r="K431" i="1"/>
  <c r="K432" i="1"/>
  <c r="K433" i="1"/>
  <c r="K434" i="1"/>
  <c r="K435" i="1"/>
  <c r="K436" i="1"/>
  <c r="K437" i="1"/>
  <c r="K438" i="1"/>
  <c r="K439" i="1"/>
  <c r="K440" i="1"/>
  <c r="K441" i="1"/>
  <c r="K442" i="1"/>
  <c r="K443" i="1"/>
  <c r="K444" i="1"/>
  <c r="K445" i="1"/>
  <c r="K446" i="1"/>
  <c r="K447" i="1"/>
  <c r="K448" i="1"/>
  <c r="K449" i="1"/>
  <c r="K402" i="1"/>
  <c r="K403" i="1"/>
  <c r="K404" i="1"/>
  <c r="K405" i="1"/>
  <c r="K406" i="1"/>
  <c r="K407" i="1"/>
  <c r="K408" i="1"/>
  <c r="K409" i="1"/>
  <c r="K410" i="1"/>
  <c r="K411" i="1"/>
  <c r="K412" i="1"/>
  <c r="K413" i="1"/>
  <c r="K414" i="1"/>
  <c r="K415" i="1"/>
  <c r="K416" i="1"/>
  <c r="K417" i="1"/>
  <c r="K418" i="1"/>
  <c r="K419" i="1"/>
  <c r="K420" i="1"/>
  <c r="K421" i="1"/>
  <c r="K422" i="1"/>
  <c r="K423" i="1"/>
  <c r="K424" i="1"/>
  <c r="K425" i="1"/>
  <c r="K378" i="1"/>
  <c r="K379" i="1"/>
  <c r="K380" i="1"/>
  <c r="K381" i="1"/>
  <c r="K382" i="1"/>
  <c r="K383" i="1"/>
  <c r="K384" i="1"/>
  <c r="K385" i="1"/>
  <c r="K386" i="1"/>
  <c r="K387" i="1"/>
  <c r="K388" i="1"/>
  <c r="K389" i="1"/>
  <c r="K390" i="1"/>
  <c r="K391" i="1"/>
  <c r="K392" i="1"/>
  <c r="K393" i="1"/>
  <c r="K394" i="1"/>
  <c r="K395" i="1"/>
  <c r="K396" i="1"/>
  <c r="K397" i="1"/>
  <c r="K398" i="1"/>
  <c r="K399" i="1"/>
  <c r="K400" i="1"/>
  <c r="K401" i="1"/>
  <c r="K354" i="1"/>
  <c r="K355" i="1"/>
  <c r="K356" i="1"/>
  <c r="K357" i="1"/>
  <c r="K358" i="1"/>
  <c r="K359" i="1"/>
  <c r="K360" i="1"/>
  <c r="K361" i="1"/>
  <c r="K362" i="1"/>
  <c r="K363" i="1"/>
  <c r="K364" i="1"/>
  <c r="K365" i="1"/>
  <c r="K366" i="1"/>
  <c r="K367" i="1"/>
  <c r="K368" i="1"/>
  <c r="K369" i="1"/>
  <c r="K370" i="1"/>
  <c r="K371" i="1"/>
  <c r="K372" i="1"/>
  <c r="K373" i="1"/>
  <c r="K374" i="1"/>
  <c r="K375" i="1"/>
  <c r="K376" i="1"/>
  <c r="K377" i="1"/>
  <c r="K330" i="1"/>
  <c r="K331" i="1"/>
  <c r="K332" i="1"/>
  <c r="K333" i="1"/>
  <c r="K334" i="1"/>
  <c r="K335" i="1"/>
  <c r="K336" i="1"/>
  <c r="K337" i="1"/>
  <c r="K338" i="1"/>
  <c r="K339" i="1"/>
  <c r="K340" i="1"/>
  <c r="K341" i="1"/>
  <c r="K342" i="1"/>
  <c r="K343" i="1"/>
  <c r="K344" i="1"/>
  <c r="K345" i="1"/>
  <c r="K346" i="1"/>
  <c r="K347" i="1"/>
  <c r="K348" i="1"/>
  <c r="K349" i="1"/>
  <c r="K350" i="1"/>
  <c r="K351" i="1"/>
  <c r="K352" i="1"/>
  <c r="K353" i="1"/>
  <c r="K306" i="1"/>
  <c r="K307" i="1"/>
  <c r="K308" i="1"/>
  <c r="K309" i="1"/>
  <c r="K310" i="1"/>
  <c r="K311" i="1"/>
  <c r="K312" i="1"/>
  <c r="K313" i="1"/>
  <c r="K314" i="1"/>
  <c r="K315" i="1"/>
  <c r="K316" i="1"/>
  <c r="K317" i="1"/>
  <c r="K318" i="1"/>
  <c r="K319" i="1"/>
  <c r="K320" i="1"/>
  <c r="K321" i="1"/>
  <c r="K322" i="1"/>
  <c r="K323" i="1"/>
  <c r="K324" i="1"/>
  <c r="K325" i="1"/>
  <c r="K326" i="1"/>
  <c r="K327" i="1"/>
  <c r="K328" i="1"/>
  <c r="K329" i="1"/>
  <c r="K282" i="1"/>
  <c r="K283" i="1"/>
  <c r="K284" i="1"/>
  <c r="K285" i="1"/>
  <c r="K286" i="1"/>
  <c r="K287" i="1"/>
  <c r="K288" i="1"/>
  <c r="K289" i="1"/>
  <c r="K290" i="1"/>
  <c r="K291" i="1"/>
  <c r="K292" i="1"/>
  <c r="K293" i="1"/>
  <c r="K294" i="1"/>
  <c r="K295" i="1"/>
  <c r="K296" i="1"/>
  <c r="K297" i="1"/>
  <c r="K298" i="1"/>
  <c r="K299" i="1"/>
  <c r="K300" i="1"/>
  <c r="K301" i="1"/>
  <c r="K302" i="1"/>
  <c r="K303" i="1"/>
  <c r="K304" i="1"/>
  <c r="K305" i="1"/>
  <c r="K258" i="1"/>
  <c r="K259" i="1"/>
  <c r="K260" i="1"/>
  <c r="K261" i="1"/>
  <c r="K262" i="1"/>
  <c r="K263" i="1"/>
  <c r="K264" i="1"/>
  <c r="K265" i="1"/>
  <c r="K266" i="1"/>
  <c r="K267" i="1"/>
  <c r="K268" i="1"/>
  <c r="K269" i="1"/>
  <c r="K270" i="1"/>
  <c r="K271" i="1"/>
  <c r="K272" i="1"/>
  <c r="K273" i="1"/>
  <c r="K274" i="1"/>
  <c r="K275" i="1"/>
  <c r="K276" i="1"/>
  <c r="K277" i="1"/>
  <c r="K278" i="1"/>
  <c r="K279" i="1"/>
  <c r="K280" i="1"/>
  <c r="K281" i="1"/>
  <c r="K234" i="1"/>
  <c r="K235" i="1"/>
  <c r="K236" i="1"/>
  <c r="K237" i="1"/>
  <c r="K238" i="1"/>
  <c r="K239" i="1"/>
  <c r="K240" i="1"/>
  <c r="K241" i="1"/>
  <c r="K242" i="1"/>
  <c r="K243" i="1"/>
  <c r="K244" i="1"/>
  <c r="K245" i="1"/>
  <c r="K246" i="1"/>
  <c r="K247" i="1"/>
  <c r="K248" i="1"/>
  <c r="K249" i="1"/>
  <c r="K250" i="1"/>
  <c r="K251" i="1"/>
  <c r="K252" i="1"/>
  <c r="K253" i="1"/>
  <c r="K254" i="1"/>
  <c r="K255" i="1"/>
  <c r="K256" i="1"/>
  <c r="K257" i="1"/>
  <c r="K210" i="1"/>
  <c r="K211" i="1"/>
  <c r="K212" i="1"/>
  <c r="K213" i="1"/>
  <c r="K214" i="1"/>
  <c r="K215" i="1"/>
  <c r="K216" i="1"/>
  <c r="K217" i="1"/>
  <c r="K218" i="1"/>
  <c r="K219" i="1"/>
  <c r="K220" i="1"/>
  <c r="K221" i="1"/>
  <c r="K222" i="1"/>
  <c r="K223" i="1"/>
  <c r="K224" i="1"/>
  <c r="K225" i="1"/>
  <c r="K226" i="1"/>
  <c r="K227" i="1"/>
  <c r="K228" i="1"/>
  <c r="K229" i="1"/>
  <c r="K230" i="1"/>
  <c r="K231" i="1"/>
  <c r="K232" i="1"/>
  <c r="K233" i="1"/>
  <c r="K186" i="1"/>
  <c r="K187" i="1"/>
  <c r="K188" i="1"/>
  <c r="K189" i="1"/>
  <c r="K190" i="1"/>
  <c r="K191" i="1"/>
  <c r="K192" i="1"/>
  <c r="K193" i="1"/>
  <c r="K194" i="1"/>
  <c r="K195" i="1"/>
  <c r="K196" i="1"/>
  <c r="K197" i="1"/>
  <c r="K198" i="1"/>
  <c r="K199" i="1"/>
  <c r="K200" i="1"/>
  <c r="K201" i="1"/>
  <c r="K202" i="1"/>
  <c r="K203" i="1"/>
  <c r="K204" i="1"/>
  <c r="K205" i="1"/>
  <c r="K206" i="1"/>
  <c r="K207" i="1"/>
  <c r="K208" i="1"/>
  <c r="K209" i="1"/>
  <c r="K162" i="1"/>
  <c r="K163" i="1"/>
  <c r="K164" i="1"/>
  <c r="K165" i="1"/>
  <c r="K166" i="1"/>
  <c r="K167" i="1"/>
  <c r="K168" i="1"/>
  <c r="K169" i="1"/>
  <c r="K170" i="1"/>
  <c r="K171" i="1"/>
  <c r="K172" i="1"/>
  <c r="K173" i="1"/>
  <c r="K174" i="1"/>
  <c r="K175" i="1"/>
  <c r="K176" i="1"/>
  <c r="K177" i="1"/>
  <c r="K178" i="1"/>
  <c r="K179" i="1"/>
  <c r="K180" i="1"/>
  <c r="K181" i="1"/>
  <c r="K182" i="1"/>
  <c r="K183" i="1"/>
  <c r="K184" i="1"/>
  <c r="K185" i="1"/>
  <c r="K138" i="1"/>
  <c r="K139" i="1"/>
  <c r="K140" i="1"/>
  <c r="K141" i="1"/>
  <c r="K142" i="1"/>
  <c r="K143" i="1"/>
  <c r="K144" i="1"/>
  <c r="K145" i="1"/>
  <c r="K146" i="1"/>
  <c r="K147" i="1"/>
  <c r="K148" i="1"/>
  <c r="K149" i="1"/>
  <c r="K150" i="1"/>
  <c r="K151" i="1"/>
  <c r="K152" i="1"/>
  <c r="K153" i="1"/>
  <c r="K154" i="1"/>
  <c r="K155" i="1"/>
  <c r="K156" i="1"/>
  <c r="K157" i="1"/>
  <c r="K158" i="1"/>
  <c r="K159" i="1"/>
  <c r="K160" i="1"/>
  <c r="K161" i="1"/>
  <c r="K114" i="1"/>
  <c r="K115" i="1"/>
  <c r="K116" i="1"/>
  <c r="K117" i="1"/>
  <c r="K118" i="1"/>
  <c r="K119" i="1"/>
  <c r="K120" i="1"/>
  <c r="K121" i="1"/>
  <c r="K122" i="1"/>
  <c r="K123" i="1"/>
  <c r="K124" i="1"/>
  <c r="K125" i="1"/>
  <c r="K126" i="1"/>
  <c r="K127" i="1"/>
  <c r="K128" i="1"/>
  <c r="K129" i="1"/>
  <c r="K130" i="1"/>
  <c r="K131" i="1"/>
  <c r="K132" i="1"/>
  <c r="K133" i="1"/>
  <c r="K134" i="1"/>
  <c r="K135" i="1"/>
  <c r="K136" i="1"/>
  <c r="K137" i="1"/>
  <c r="K90" i="1"/>
  <c r="K91" i="1"/>
  <c r="K92" i="1"/>
  <c r="K93" i="1"/>
  <c r="K94" i="1"/>
  <c r="K95" i="1"/>
  <c r="K96" i="1"/>
  <c r="K97" i="1"/>
  <c r="K98" i="1"/>
  <c r="K99" i="1"/>
  <c r="K100" i="1"/>
  <c r="K101" i="1"/>
  <c r="K102" i="1"/>
  <c r="K103" i="1"/>
  <c r="K104" i="1"/>
  <c r="K105" i="1"/>
  <c r="K106" i="1"/>
  <c r="K107" i="1"/>
  <c r="K108" i="1"/>
  <c r="K109" i="1"/>
  <c r="K110" i="1"/>
  <c r="K111" i="1"/>
  <c r="K112" i="1"/>
  <c r="K113" i="1"/>
  <c r="K66" i="1"/>
  <c r="K67" i="1"/>
  <c r="K68" i="1"/>
  <c r="K69" i="1"/>
  <c r="K70" i="1"/>
  <c r="K71" i="1"/>
  <c r="K72" i="1"/>
  <c r="K73" i="1"/>
  <c r="K74" i="1"/>
  <c r="K75" i="1"/>
  <c r="K76" i="1"/>
  <c r="K77" i="1"/>
  <c r="K78" i="1"/>
  <c r="K79" i="1"/>
  <c r="K80" i="1"/>
  <c r="K81" i="1"/>
  <c r="K82" i="1"/>
  <c r="K83" i="1"/>
  <c r="K84" i="1"/>
  <c r="K85" i="1"/>
  <c r="K86" i="1"/>
  <c r="K87" i="1"/>
  <c r="K88" i="1"/>
  <c r="K89" i="1"/>
  <c r="K42" i="1"/>
  <c r="K43" i="1"/>
  <c r="K44" i="1"/>
  <c r="K45" i="1"/>
  <c r="K46" i="1"/>
  <c r="K47" i="1"/>
  <c r="K48" i="1"/>
  <c r="K49" i="1"/>
  <c r="K50" i="1"/>
  <c r="K51" i="1"/>
  <c r="K52" i="1"/>
  <c r="K53" i="1"/>
  <c r="K54" i="1"/>
  <c r="K55" i="1"/>
  <c r="K56" i="1"/>
  <c r="K57" i="1"/>
  <c r="K58" i="1"/>
  <c r="K59" i="1"/>
  <c r="K60" i="1"/>
  <c r="K61" i="1"/>
  <c r="K62" i="1"/>
  <c r="K63" i="1"/>
  <c r="K64" i="1"/>
  <c r="K65" i="1"/>
  <c r="K18" i="1"/>
  <c r="K19" i="1"/>
  <c r="K20" i="1"/>
  <c r="K21" i="1"/>
  <c r="K22" i="1"/>
  <c r="K23" i="1"/>
  <c r="K24" i="1"/>
  <c r="K25" i="1"/>
  <c r="K26" i="1"/>
  <c r="K27" i="1"/>
  <c r="K28" i="1"/>
  <c r="K29" i="1"/>
  <c r="K30" i="1"/>
  <c r="K31" i="1"/>
  <c r="K32" i="1"/>
  <c r="K33" i="1"/>
  <c r="K34" i="1"/>
  <c r="K35" i="1"/>
  <c r="K36" i="1"/>
  <c r="K37" i="1"/>
  <c r="K38" i="1"/>
  <c r="K39" i="1"/>
  <c r="K40" i="1"/>
  <c r="K41" i="1"/>
  <c r="K2" i="1"/>
  <c r="K3" i="1"/>
  <c r="K4" i="1"/>
  <c r="K5" i="1"/>
  <c r="K6" i="1"/>
  <c r="K7" i="1"/>
  <c r="K8" i="1"/>
  <c r="K9" i="1"/>
  <c r="K10" i="1"/>
  <c r="K11" i="1"/>
  <c r="K12" i="1"/>
  <c r="K13" i="1"/>
  <c r="K14" i="1"/>
  <c r="K15" i="1"/>
  <c r="K16" i="1"/>
  <c r="K17" i="1"/>
  <c r="J978" i="1"/>
  <c r="J979" i="1"/>
  <c r="J980" i="1"/>
  <c r="J981" i="1"/>
  <c r="J982" i="1"/>
  <c r="J983" i="1"/>
  <c r="J984" i="1"/>
  <c r="J985" i="1"/>
  <c r="J986" i="1"/>
  <c r="J987" i="1"/>
  <c r="J988" i="1"/>
  <c r="J989" i="1"/>
  <c r="J990" i="1"/>
  <c r="J991" i="1"/>
  <c r="J992" i="1"/>
  <c r="J993" i="1"/>
  <c r="J994" i="1"/>
  <c r="J995" i="1"/>
  <c r="J996" i="1"/>
  <c r="J997" i="1"/>
  <c r="J998" i="1"/>
  <c r="J999" i="1"/>
  <c r="J1000" i="1"/>
  <c r="J1001" i="1"/>
  <c r="J954" i="1"/>
  <c r="J955" i="1"/>
  <c r="J956" i="1"/>
  <c r="J957" i="1"/>
  <c r="J958" i="1"/>
  <c r="J959" i="1"/>
  <c r="J960" i="1"/>
  <c r="J961" i="1"/>
  <c r="J962" i="1"/>
  <c r="J963" i="1"/>
  <c r="J964" i="1"/>
  <c r="J965" i="1"/>
  <c r="J966" i="1"/>
  <c r="J967" i="1"/>
  <c r="J968" i="1"/>
  <c r="J969" i="1"/>
  <c r="J970" i="1"/>
  <c r="J971" i="1"/>
  <c r="J972" i="1"/>
  <c r="J973" i="1"/>
  <c r="J974" i="1"/>
  <c r="J975" i="1"/>
  <c r="J976" i="1"/>
  <c r="J977" i="1"/>
  <c r="J930" i="1"/>
  <c r="J931" i="1"/>
  <c r="J932" i="1"/>
  <c r="J933" i="1"/>
  <c r="J934" i="1"/>
  <c r="J935" i="1"/>
  <c r="J936" i="1"/>
  <c r="J937" i="1"/>
  <c r="J938" i="1"/>
  <c r="J939" i="1"/>
  <c r="J940" i="1"/>
  <c r="J941" i="1"/>
  <c r="J942" i="1"/>
  <c r="J943" i="1"/>
  <c r="J944" i="1"/>
  <c r="J945" i="1"/>
  <c r="J946" i="1"/>
  <c r="J947" i="1"/>
  <c r="J948" i="1"/>
  <c r="J949" i="1"/>
  <c r="J950" i="1"/>
  <c r="J951" i="1"/>
  <c r="J952" i="1"/>
  <c r="J953" i="1"/>
  <c r="J906" i="1"/>
  <c r="J907" i="1"/>
  <c r="J908" i="1"/>
  <c r="J909" i="1"/>
  <c r="J910" i="1"/>
  <c r="J911" i="1"/>
  <c r="J912" i="1"/>
  <c r="J913" i="1"/>
  <c r="J914" i="1"/>
  <c r="J915" i="1"/>
  <c r="J916" i="1"/>
  <c r="J917" i="1"/>
  <c r="J918" i="1"/>
  <c r="J919" i="1"/>
  <c r="J920" i="1"/>
  <c r="J921" i="1"/>
  <c r="J922" i="1"/>
  <c r="J923" i="1"/>
  <c r="J924" i="1"/>
  <c r="J925" i="1"/>
  <c r="J926" i="1"/>
  <c r="J927" i="1"/>
  <c r="J928" i="1"/>
  <c r="J929" i="1"/>
  <c r="J882" i="1"/>
  <c r="J883" i="1"/>
  <c r="J884" i="1"/>
  <c r="J885" i="1"/>
  <c r="J886" i="1"/>
  <c r="J887" i="1"/>
  <c r="J888" i="1"/>
  <c r="J889" i="1"/>
  <c r="J890" i="1"/>
  <c r="J891" i="1"/>
  <c r="J892" i="1"/>
  <c r="J893" i="1"/>
  <c r="J894" i="1"/>
  <c r="J895" i="1"/>
  <c r="J896" i="1"/>
  <c r="J897" i="1"/>
  <c r="J898" i="1"/>
  <c r="J899" i="1"/>
  <c r="J900" i="1"/>
  <c r="J901" i="1"/>
  <c r="J902" i="1"/>
  <c r="J903" i="1"/>
  <c r="J904" i="1"/>
  <c r="J905" i="1"/>
  <c r="J858" i="1"/>
  <c r="J859" i="1"/>
  <c r="J860" i="1"/>
  <c r="J861" i="1"/>
  <c r="J862" i="1"/>
  <c r="J863" i="1"/>
  <c r="J864" i="1"/>
  <c r="J865" i="1"/>
  <c r="J866" i="1"/>
  <c r="J867" i="1"/>
  <c r="J868" i="1"/>
  <c r="J869" i="1"/>
  <c r="J870" i="1"/>
  <c r="J871" i="1"/>
  <c r="J872" i="1"/>
  <c r="J873" i="1"/>
  <c r="J874" i="1"/>
  <c r="J875" i="1"/>
  <c r="J876" i="1"/>
  <c r="J877" i="1"/>
  <c r="J878" i="1"/>
  <c r="J879" i="1"/>
  <c r="J880" i="1"/>
  <c r="J881" i="1"/>
  <c r="J834" i="1"/>
  <c r="J835" i="1"/>
  <c r="J836" i="1"/>
  <c r="J837" i="1"/>
  <c r="J838" i="1"/>
  <c r="J839" i="1"/>
  <c r="J840" i="1"/>
  <c r="J841" i="1"/>
  <c r="J842" i="1"/>
  <c r="J843" i="1"/>
  <c r="J844" i="1"/>
  <c r="J845" i="1"/>
  <c r="J846" i="1"/>
  <c r="J847" i="1"/>
  <c r="J848" i="1"/>
  <c r="J849" i="1"/>
  <c r="J850" i="1"/>
  <c r="J851" i="1"/>
  <c r="J852" i="1"/>
  <c r="J853" i="1"/>
  <c r="J854" i="1"/>
  <c r="J855" i="1"/>
  <c r="J856" i="1"/>
  <c r="J857" i="1"/>
  <c r="J810" i="1"/>
  <c r="J811" i="1"/>
  <c r="J812" i="1"/>
  <c r="J813" i="1"/>
  <c r="J814" i="1"/>
  <c r="J815" i="1"/>
  <c r="J816" i="1"/>
  <c r="J817" i="1"/>
  <c r="J818" i="1"/>
  <c r="J819" i="1"/>
  <c r="J820" i="1"/>
  <c r="J821" i="1"/>
  <c r="J822" i="1"/>
  <c r="J823" i="1"/>
  <c r="J824" i="1"/>
  <c r="J825" i="1"/>
  <c r="J826" i="1"/>
  <c r="J827" i="1"/>
  <c r="J828" i="1"/>
  <c r="J829" i="1"/>
  <c r="J830" i="1"/>
  <c r="J831" i="1"/>
  <c r="J832" i="1"/>
  <c r="J833" i="1"/>
  <c r="J786" i="1"/>
  <c r="J787" i="1"/>
  <c r="J788" i="1"/>
  <c r="J789" i="1"/>
  <c r="J790" i="1"/>
  <c r="J791" i="1"/>
  <c r="J792" i="1"/>
  <c r="J793" i="1"/>
  <c r="J794" i="1"/>
  <c r="J795" i="1"/>
  <c r="J796" i="1"/>
  <c r="J797" i="1"/>
  <c r="J798" i="1"/>
  <c r="J799" i="1"/>
  <c r="J800" i="1"/>
  <c r="J801" i="1"/>
  <c r="J802" i="1"/>
  <c r="J803" i="1"/>
  <c r="J804" i="1"/>
  <c r="J805" i="1"/>
  <c r="J806" i="1"/>
  <c r="J807" i="1"/>
  <c r="J808" i="1"/>
  <c r="J809" i="1"/>
  <c r="J762" i="1"/>
  <c r="J763" i="1"/>
  <c r="J764" i="1"/>
  <c r="J765" i="1"/>
  <c r="J766" i="1"/>
  <c r="J767" i="1"/>
  <c r="J768" i="1"/>
  <c r="J769" i="1"/>
  <c r="J770" i="1"/>
  <c r="J771" i="1"/>
  <c r="J772" i="1"/>
  <c r="J773" i="1"/>
  <c r="J774" i="1"/>
  <c r="J775" i="1"/>
  <c r="J776" i="1"/>
  <c r="J777" i="1"/>
  <c r="J778" i="1"/>
  <c r="J779" i="1"/>
  <c r="J780" i="1"/>
  <c r="J781" i="1"/>
  <c r="J782" i="1"/>
  <c r="J783" i="1"/>
  <c r="J784" i="1"/>
  <c r="J785" i="1"/>
  <c r="J738" i="1"/>
  <c r="J739" i="1"/>
  <c r="J740" i="1"/>
  <c r="J741" i="1"/>
  <c r="J742" i="1"/>
  <c r="J743" i="1"/>
  <c r="J744" i="1"/>
  <c r="J745" i="1"/>
  <c r="J746" i="1"/>
  <c r="J747" i="1"/>
  <c r="J748" i="1"/>
  <c r="J749" i="1"/>
  <c r="J750" i="1"/>
  <c r="J751" i="1"/>
  <c r="J752" i="1"/>
  <c r="J753" i="1"/>
  <c r="J754" i="1"/>
  <c r="J755" i="1"/>
  <c r="J756" i="1"/>
  <c r="J757" i="1"/>
  <c r="J758" i="1"/>
  <c r="J759" i="1"/>
  <c r="J760" i="1"/>
  <c r="J761" i="1"/>
  <c r="J714" i="1"/>
  <c r="J715" i="1"/>
  <c r="J716" i="1"/>
  <c r="J717" i="1"/>
  <c r="J718" i="1"/>
  <c r="J719" i="1"/>
  <c r="J720" i="1"/>
  <c r="J721" i="1"/>
  <c r="J722" i="1"/>
  <c r="J723" i="1"/>
  <c r="J724" i="1"/>
  <c r="J725" i="1"/>
  <c r="J726" i="1"/>
  <c r="J727" i="1"/>
  <c r="J728" i="1"/>
  <c r="J729" i="1"/>
  <c r="J730" i="1"/>
  <c r="J731" i="1"/>
  <c r="J732" i="1"/>
  <c r="J733" i="1"/>
  <c r="J734" i="1"/>
  <c r="J735" i="1"/>
  <c r="J736" i="1"/>
  <c r="J737" i="1"/>
  <c r="J690" i="1"/>
  <c r="J691" i="1"/>
  <c r="J692" i="1"/>
  <c r="J693" i="1"/>
  <c r="J694" i="1"/>
  <c r="J695" i="1"/>
  <c r="J696" i="1"/>
  <c r="J697" i="1"/>
  <c r="J698" i="1"/>
  <c r="J699" i="1"/>
  <c r="J700" i="1"/>
  <c r="J701" i="1"/>
  <c r="J702" i="1"/>
  <c r="J703" i="1"/>
  <c r="J704" i="1"/>
  <c r="J705" i="1"/>
  <c r="J706" i="1"/>
  <c r="J707" i="1"/>
  <c r="J708" i="1"/>
  <c r="J709" i="1"/>
  <c r="J710" i="1"/>
  <c r="J711" i="1"/>
  <c r="J712" i="1"/>
  <c r="J713" i="1"/>
  <c r="J666" i="1"/>
  <c r="J667" i="1"/>
  <c r="J668" i="1"/>
  <c r="J669" i="1"/>
  <c r="J670" i="1"/>
  <c r="J671" i="1"/>
  <c r="J672" i="1"/>
  <c r="J673" i="1"/>
  <c r="J674" i="1"/>
  <c r="J675" i="1"/>
  <c r="J676" i="1"/>
  <c r="J677" i="1"/>
  <c r="J678" i="1"/>
  <c r="J679" i="1"/>
  <c r="J680" i="1"/>
  <c r="J681" i="1"/>
  <c r="J682" i="1"/>
  <c r="J683" i="1"/>
  <c r="J684" i="1"/>
  <c r="J685" i="1"/>
  <c r="J686" i="1"/>
  <c r="J687" i="1"/>
  <c r="J688" i="1"/>
  <c r="J689" i="1"/>
  <c r="J642" i="1"/>
  <c r="J643" i="1"/>
  <c r="J644" i="1"/>
  <c r="J645" i="1"/>
  <c r="J646" i="1"/>
  <c r="J647" i="1"/>
  <c r="J648" i="1"/>
  <c r="J649" i="1"/>
  <c r="J650" i="1"/>
  <c r="J651" i="1"/>
  <c r="J652" i="1"/>
  <c r="J653" i="1"/>
  <c r="J654" i="1"/>
  <c r="J655" i="1"/>
  <c r="J656" i="1"/>
  <c r="J657" i="1"/>
  <c r="J658" i="1"/>
  <c r="J659" i="1"/>
  <c r="J660" i="1"/>
  <c r="J661" i="1"/>
  <c r="J662" i="1"/>
  <c r="J663" i="1"/>
  <c r="J664" i="1"/>
  <c r="J665" i="1"/>
  <c r="J618" i="1"/>
  <c r="J619" i="1"/>
  <c r="J620" i="1"/>
  <c r="J621" i="1"/>
  <c r="J622" i="1"/>
  <c r="J623" i="1"/>
  <c r="J624" i="1"/>
  <c r="J625" i="1"/>
  <c r="J626" i="1"/>
  <c r="J627" i="1"/>
  <c r="J628" i="1"/>
  <c r="J629" i="1"/>
  <c r="J630" i="1"/>
  <c r="J631" i="1"/>
  <c r="J632" i="1"/>
  <c r="J633" i="1"/>
  <c r="J634" i="1"/>
  <c r="J635" i="1"/>
  <c r="J636" i="1"/>
  <c r="J637" i="1"/>
  <c r="J638" i="1"/>
  <c r="J639" i="1"/>
  <c r="J640" i="1"/>
  <c r="J641" i="1"/>
  <c r="J594" i="1"/>
  <c r="J595" i="1"/>
  <c r="J596" i="1"/>
  <c r="J597" i="1"/>
  <c r="J598" i="1"/>
  <c r="J599" i="1"/>
  <c r="J600" i="1"/>
  <c r="J601" i="1"/>
  <c r="J602" i="1"/>
  <c r="J603" i="1"/>
  <c r="J604" i="1"/>
  <c r="J605" i="1"/>
  <c r="J606" i="1"/>
  <c r="J607" i="1"/>
  <c r="J608" i="1"/>
  <c r="J609" i="1"/>
  <c r="J610" i="1"/>
  <c r="J611" i="1"/>
  <c r="J612" i="1"/>
  <c r="J613" i="1"/>
  <c r="J614" i="1"/>
  <c r="J615" i="1"/>
  <c r="J616" i="1"/>
  <c r="J617" i="1"/>
  <c r="J570" i="1"/>
  <c r="J571" i="1"/>
  <c r="J572" i="1"/>
  <c r="J573" i="1"/>
  <c r="J574" i="1"/>
  <c r="J575" i="1"/>
  <c r="J576" i="1"/>
  <c r="J577" i="1"/>
  <c r="J578" i="1"/>
  <c r="J579" i="1"/>
  <c r="J580" i="1"/>
  <c r="J581" i="1"/>
  <c r="J582" i="1"/>
  <c r="J583" i="1"/>
  <c r="J584" i="1"/>
  <c r="J585" i="1"/>
  <c r="J586" i="1"/>
  <c r="J587" i="1"/>
  <c r="J588" i="1"/>
  <c r="J589" i="1"/>
  <c r="J590" i="1"/>
  <c r="J591" i="1"/>
  <c r="J592" i="1"/>
  <c r="J593" i="1"/>
  <c r="J546" i="1"/>
  <c r="J547" i="1"/>
  <c r="J548" i="1"/>
  <c r="J549" i="1"/>
  <c r="J550" i="1"/>
  <c r="J551" i="1"/>
  <c r="J552" i="1"/>
  <c r="J553" i="1"/>
  <c r="J554" i="1"/>
  <c r="J555" i="1"/>
  <c r="J556" i="1"/>
  <c r="J557" i="1"/>
  <c r="J558" i="1"/>
  <c r="J559" i="1"/>
  <c r="J560" i="1"/>
  <c r="J561" i="1"/>
  <c r="J562" i="1"/>
  <c r="J563" i="1"/>
  <c r="J564" i="1"/>
  <c r="J565" i="1"/>
  <c r="J566" i="1"/>
  <c r="J567" i="1"/>
  <c r="J568" i="1"/>
  <c r="J569" i="1"/>
  <c r="J522" i="1"/>
  <c r="J523" i="1"/>
  <c r="J524" i="1"/>
  <c r="J525" i="1"/>
  <c r="J526" i="1"/>
  <c r="J527" i="1"/>
  <c r="J528" i="1"/>
  <c r="J529" i="1"/>
  <c r="J530" i="1"/>
  <c r="J531" i="1"/>
  <c r="J532" i="1"/>
  <c r="J533" i="1"/>
  <c r="J534" i="1"/>
  <c r="J535" i="1"/>
  <c r="J536" i="1"/>
  <c r="J537" i="1"/>
  <c r="J538" i="1"/>
  <c r="J539" i="1"/>
  <c r="J540" i="1"/>
  <c r="J541" i="1"/>
  <c r="J542" i="1"/>
  <c r="J543" i="1"/>
  <c r="J544" i="1"/>
  <c r="J545" i="1"/>
  <c r="J498" i="1"/>
  <c r="J499" i="1"/>
  <c r="J500" i="1"/>
  <c r="J501" i="1"/>
  <c r="J502" i="1"/>
  <c r="J503" i="1"/>
  <c r="J504" i="1"/>
  <c r="J505" i="1"/>
  <c r="J506" i="1"/>
  <c r="J507" i="1"/>
  <c r="J508" i="1"/>
  <c r="J509" i="1"/>
  <c r="J510" i="1"/>
  <c r="J511" i="1"/>
  <c r="J512" i="1"/>
  <c r="J513" i="1"/>
  <c r="J514" i="1"/>
  <c r="J515" i="1"/>
  <c r="J516" i="1"/>
  <c r="J517" i="1"/>
  <c r="J518" i="1"/>
  <c r="J519" i="1"/>
  <c r="J520" i="1"/>
  <c r="J521" i="1"/>
  <c r="J474" i="1"/>
  <c r="J475" i="1"/>
  <c r="J476" i="1"/>
  <c r="J477" i="1"/>
  <c r="J478" i="1"/>
  <c r="J479" i="1"/>
  <c r="J480" i="1"/>
  <c r="J481" i="1"/>
  <c r="J482" i="1"/>
  <c r="J483" i="1"/>
  <c r="J484" i="1"/>
  <c r="J485" i="1"/>
  <c r="J486" i="1"/>
  <c r="J487" i="1"/>
  <c r="J488" i="1"/>
  <c r="J489" i="1"/>
  <c r="J490" i="1"/>
  <c r="J491" i="1"/>
  <c r="J492" i="1"/>
  <c r="J493" i="1"/>
  <c r="J494" i="1"/>
  <c r="J495" i="1"/>
  <c r="J496" i="1"/>
  <c r="J497" i="1"/>
  <c r="J450" i="1"/>
  <c r="J451" i="1"/>
  <c r="J452" i="1"/>
  <c r="J453" i="1"/>
  <c r="J454" i="1"/>
  <c r="J455" i="1"/>
  <c r="J456" i="1"/>
  <c r="J457" i="1"/>
  <c r="J458" i="1"/>
  <c r="J459" i="1"/>
  <c r="J460" i="1"/>
  <c r="J461" i="1"/>
  <c r="J462" i="1"/>
  <c r="J463" i="1"/>
  <c r="J464" i="1"/>
  <c r="J465" i="1"/>
  <c r="J466" i="1"/>
  <c r="J467" i="1"/>
  <c r="J468" i="1"/>
  <c r="J469" i="1"/>
  <c r="J470" i="1"/>
  <c r="J471" i="1"/>
  <c r="J472" i="1"/>
  <c r="J473" i="1"/>
  <c r="J426" i="1"/>
  <c r="J427" i="1"/>
  <c r="J428" i="1"/>
  <c r="J429" i="1"/>
  <c r="J430" i="1"/>
  <c r="J431" i="1"/>
  <c r="J432" i="1"/>
  <c r="J433" i="1"/>
  <c r="J434" i="1"/>
  <c r="J435" i="1"/>
  <c r="J436" i="1"/>
  <c r="J437" i="1"/>
  <c r="J438" i="1"/>
  <c r="J439" i="1"/>
  <c r="J440" i="1"/>
  <c r="J441" i="1"/>
  <c r="J442" i="1"/>
  <c r="J443" i="1"/>
  <c r="J444" i="1"/>
  <c r="J445" i="1"/>
  <c r="J446" i="1"/>
  <c r="J447" i="1"/>
  <c r="J448" i="1"/>
  <c r="J449" i="1"/>
  <c r="J402" i="1"/>
  <c r="J403" i="1"/>
  <c r="J404" i="1"/>
  <c r="J405" i="1"/>
  <c r="J406" i="1"/>
  <c r="J407" i="1"/>
  <c r="J408" i="1"/>
  <c r="J409" i="1"/>
  <c r="J410" i="1"/>
  <c r="J411" i="1"/>
  <c r="J412" i="1"/>
  <c r="J413" i="1"/>
  <c r="J414" i="1"/>
  <c r="J415" i="1"/>
  <c r="J416" i="1"/>
  <c r="J417" i="1"/>
  <c r="J418" i="1"/>
  <c r="J419" i="1"/>
  <c r="J420" i="1"/>
  <c r="J421" i="1"/>
  <c r="J422" i="1"/>
  <c r="J423" i="1"/>
  <c r="J424" i="1"/>
  <c r="J425" i="1"/>
  <c r="J378" i="1"/>
  <c r="J379" i="1"/>
  <c r="J380" i="1"/>
  <c r="J381" i="1"/>
  <c r="J382" i="1"/>
  <c r="J383" i="1"/>
  <c r="J384" i="1"/>
  <c r="J385" i="1"/>
  <c r="J386" i="1"/>
  <c r="J387" i="1"/>
  <c r="J388" i="1"/>
  <c r="J389" i="1"/>
  <c r="J390" i="1"/>
  <c r="J391" i="1"/>
  <c r="J392" i="1"/>
  <c r="J393" i="1"/>
  <c r="J394" i="1"/>
  <c r="J395" i="1"/>
  <c r="J396" i="1"/>
  <c r="J397" i="1"/>
  <c r="J398" i="1"/>
  <c r="J399" i="1"/>
  <c r="J400" i="1"/>
  <c r="J401" i="1"/>
  <c r="J354" i="1"/>
  <c r="J355" i="1"/>
  <c r="J356" i="1"/>
  <c r="J357" i="1"/>
  <c r="J358" i="1"/>
  <c r="J359" i="1"/>
  <c r="J360" i="1"/>
  <c r="J361" i="1"/>
  <c r="J362" i="1"/>
  <c r="J363" i="1"/>
  <c r="J364" i="1"/>
  <c r="J365" i="1"/>
  <c r="J366" i="1"/>
  <c r="J367" i="1"/>
  <c r="J368" i="1"/>
  <c r="J369" i="1"/>
  <c r="J370" i="1"/>
  <c r="J371" i="1"/>
  <c r="J372" i="1"/>
  <c r="J373" i="1"/>
  <c r="J374" i="1"/>
  <c r="J375" i="1"/>
  <c r="J376" i="1"/>
  <c r="J377" i="1"/>
  <c r="J330" i="1"/>
  <c r="J331" i="1"/>
  <c r="J332" i="1"/>
  <c r="J333" i="1"/>
  <c r="J334" i="1"/>
  <c r="J335" i="1"/>
  <c r="J336" i="1"/>
  <c r="J337" i="1"/>
  <c r="J338" i="1"/>
  <c r="J339" i="1"/>
  <c r="J340" i="1"/>
  <c r="J341" i="1"/>
  <c r="J342" i="1"/>
  <c r="J343" i="1"/>
  <c r="J344" i="1"/>
  <c r="J345" i="1"/>
  <c r="J346" i="1"/>
  <c r="J347" i="1"/>
  <c r="J348" i="1"/>
  <c r="J349" i="1"/>
  <c r="J350" i="1"/>
  <c r="J351" i="1"/>
  <c r="J352" i="1"/>
  <c r="J353" i="1"/>
  <c r="J306" i="1"/>
  <c r="J307" i="1"/>
  <c r="J308" i="1"/>
  <c r="J309" i="1"/>
  <c r="J310" i="1"/>
  <c r="J311" i="1"/>
  <c r="J312" i="1"/>
  <c r="J313" i="1"/>
  <c r="J314" i="1"/>
  <c r="J315" i="1"/>
  <c r="J316" i="1"/>
  <c r="J317" i="1"/>
  <c r="J318" i="1"/>
  <c r="J319" i="1"/>
  <c r="J320" i="1"/>
  <c r="J321" i="1"/>
  <c r="J322" i="1"/>
  <c r="J323" i="1"/>
  <c r="J324" i="1"/>
  <c r="J325" i="1"/>
  <c r="J326" i="1"/>
  <c r="J327" i="1"/>
  <c r="J328" i="1"/>
  <c r="J329" i="1"/>
  <c r="J282" i="1"/>
  <c r="J283" i="1"/>
  <c r="J284" i="1"/>
  <c r="J285" i="1"/>
  <c r="J286" i="1"/>
  <c r="J287" i="1"/>
  <c r="J288" i="1"/>
  <c r="J289" i="1"/>
  <c r="J290" i="1"/>
  <c r="J291" i="1"/>
  <c r="J292" i="1"/>
  <c r="J293" i="1"/>
  <c r="J294" i="1"/>
  <c r="J295" i="1"/>
  <c r="J296" i="1"/>
  <c r="J297" i="1"/>
  <c r="J298" i="1"/>
  <c r="J299" i="1"/>
  <c r="J300" i="1"/>
  <c r="J301" i="1"/>
  <c r="J302" i="1"/>
  <c r="J303" i="1"/>
  <c r="J304" i="1"/>
  <c r="J305" i="1"/>
  <c r="J258" i="1"/>
  <c r="J259" i="1"/>
  <c r="J260" i="1"/>
  <c r="J261" i="1"/>
  <c r="J262" i="1"/>
  <c r="J263" i="1"/>
  <c r="J264" i="1"/>
  <c r="J265" i="1"/>
  <c r="J266" i="1"/>
  <c r="J267" i="1"/>
  <c r="J268" i="1"/>
  <c r="J269" i="1"/>
  <c r="J270" i="1"/>
  <c r="J271" i="1"/>
  <c r="J272" i="1"/>
  <c r="J273" i="1"/>
  <c r="J274" i="1"/>
  <c r="J275" i="1"/>
  <c r="J276" i="1"/>
  <c r="J277" i="1"/>
  <c r="J278" i="1"/>
  <c r="J279" i="1"/>
  <c r="J280" i="1"/>
  <c r="J281" i="1"/>
  <c r="J234" i="1"/>
  <c r="J235" i="1"/>
  <c r="J236" i="1"/>
  <c r="J237" i="1"/>
  <c r="J238" i="1"/>
  <c r="J239" i="1"/>
  <c r="J240" i="1"/>
  <c r="J241" i="1"/>
  <c r="J242" i="1"/>
  <c r="J243" i="1"/>
  <c r="J244" i="1"/>
  <c r="J245" i="1"/>
  <c r="J246" i="1"/>
  <c r="J247" i="1"/>
  <c r="J248" i="1"/>
  <c r="J249" i="1"/>
  <c r="J250" i="1"/>
  <c r="J251" i="1"/>
  <c r="J252" i="1"/>
  <c r="J253" i="1"/>
  <c r="J254" i="1"/>
  <c r="J255" i="1"/>
  <c r="J256" i="1"/>
  <c r="J257" i="1"/>
  <c r="J210" i="1"/>
  <c r="J211" i="1"/>
  <c r="J212" i="1"/>
  <c r="J213" i="1"/>
  <c r="J214" i="1"/>
  <c r="J215" i="1"/>
  <c r="J216" i="1"/>
  <c r="J217" i="1"/>
  <c r="J218" i="1"/>
  <c r="J219" i="1"/>
  <c r="J220" i="1"/>
  <c r="J221" i="1"/>
  <c r="J222" i="1"/>
  <c r="J223" i="1"/>
  <c r="J224" i="1"/>
  <c r="J225" i="1"/>
  <c r="J226" i="1"/>
  <c r="J227" i="1"/>
  <c r="J228" i="1"/>
  <c r="J229" i="1"/>
  <c r="J230" i="1"/>
  <c r="J231" i="1"/>
  <c r="J232" i="1"/>
  <c r="J233" i="1"/>
  <c r="J186" i="1"/>
  <c r="J187" i="1"/>
  <c r="J188" i="1"/>
  <c r="J189" i="1"/>
  <c r="J190" i="1"/>
  <c r="J191" i="1"/>
  <c r="J192" i="1"/>
  <c r="J193" i="1"/>
  <c r="J194" i="1"/>
  <c r="J195" i="1"/>
  <c r="J196" i="1"/>
  <c r="J197" i="1"/>
  <c r="J198" i="1"/>
  <c r="J199" i="1"/>
  <c r="J200" i="1"/>
  <c r="J201" i="1"/>
  <c r="J202" i="1"/>
  <c r="J203" i="1"/>
  <c r="J204" i="1"/>
  <c r="J205" i="1"/>
  <c r="J206" i="1"/>
  <c r="J207" i="1"/>
  <c r="J208" i="1"/>
  <c r="J209" i="1"/>
  <c r="J162" i="1"/>
  <c r="J163" i="1"/>
  <c r="J164" i="1"/>
  <c r="J165" i="1"/>
  <c r="J166" i="1"/>
  <c r="J167" i="1"/>
  <c r="J168" i="1"/>
  <c r="J169" i="1"/>
  <c r="J170" i="1"/>
  <c r="J171" i="1"/>
  <c r="J172" i="1"/>
  <c r="J173" i="1"/>
  <c r="J174" i="1"/>
  <c r="J175" i="1"/>
  <c r="J176" i="1"/>
  <c r="J177" i="1"/>
  <c r="J178" i="1"/>
  <c r="J179" i="1"/>
  <c r="J180" i="1"/>
  <c r="J181" i="1"/>
  <c r="J182" i="1"/>
  <c r="J183" i="1"/>
  <c r="J184" i="1"/>
  <c r="J185" i="1"/>
  <c r="J138" i="1"/>
  <c r="J139" i="1"/>
  <c r="J140" i="1"/>
  <c r="J141" i="1"/>
  <c r="J142" i="1"/>
  <c r="J143" i="1"/>
  <c r="J144" i="1"/>
  <c r="J145" i="1"/>
  <c r="J146" i="1"/>
  <c r="J147" i="1"/>
  <c r="J148" i="1"/>
  <c r="J149" i="1"/>
  <c r="J150" i="1"/>
  <c r="J151" i="1"/>
  <c r="J152" i="1"/>
  <c r="J153" i="1"/>
  <c r="J154" i="1"/>
  <c r="J155" i="1"/>
  <c r="J156" i="1"/>
  <c r="J157" i="1"/>
  <c r="J158" i="1"/>
  <c r="J159" i="1"/>
  <c r="J160" i="1"/>
  <c r="J161" i="1"/>
  <c r="J114" i="1"/>
  <c r="J115" i="1"/>
  <c r="J116" i="1"/>
  <c r="J117" i="1"/>
  <c r="J118" i="1"/>
  <c r="J119" i="1"/>
  <c r="J120" i="1"/>
  <c r="J121" i="1"/>
  <c r="J122" i="1"/>
  <c r="J123" i="1"/>
  <c r="J124" i="1"/>
  <c r="J125" i="1"/>
  <c r="J126" i="1"/>
  <c r="J127" i="1"/>
  <c r="J128" i="1"/>
  <c r="J129" i="1"/>
  <c r="J130" i="1"/>
  <c r="J131" i="1"/>
  <c r="J132" i="1"/>
  <c r="J133" i="1"/>
  <c r="J134" i="1"/>
  <c r="J135" i="1"/>
  <c r="J136" i="1"/>
  <c r="J137" i="1"/>
  <c r="J90" i="1"/>
  <c r="J91" i="1"/>
  <c r="J92" i="1"/>
  <c r="J93" i="1"/>
  <c r="J94" i="1"/>
  <c r="J95" i="1"/>
  <c r="J96" i="1"/>
  <c r="J97" i="1"/>
  <c r="J98" i="1"/>
  <c r="J99" i="1"/>
  <c r="J100" i="1"/>
  <c r="J101" i="1"/>
  <c r="J102" i="1"/>
  <c r="J103" i="1"/>
  <c r="J104" i="1"/>
  <c r="J105" i="1"/>
  <c r="J106" i="1"/>
  <c r="J107" i="1"/>
  <c r="J108" i="1"/>
  <c r="J109" i="1"/>
  <c r="J110" i="1"/>
  <c r="J111" i="1"/>
  <c r="J112" i="1"/>
  <c r="J113" i="1"/>
  <c r="J66" i="1"/>
  <c r="J67" i="1"/>
  <c r="J68" i="1"/>
  <c r="J69" i="1"/>
  <c r="J70" i="1"/>
  <c r="J71" i="1"/>
  <c r="J72" i="1"/>
  <c r="J73" i="1"/>
  <c r="J74" i="1"/>
  <c r="J75" i="1"/>
  <c r="J76" i="1"/>
  <c r="J77" i="1"/>
  <c r="J78" i="1"/>
  <c r="J79" i="1"/>
  <c r="J80" i="1"/>
  <c r="J81" i="1"/>
  <c r="J82" i="1"/>
  <c r="J83" i="1"/>
  <c r="J84" i="1"/>
  <c r="J85" i="1"/>
  <c r="J86" i="1"/>
  <c r="J87" i="1"/>
  <c r="J88" i="1"/>
  <c r="J89" i="1"/>
  <c r="J42" i="1"/>
  <c r="J43" i="1"/>
  <c r="J44" i="1"/>
  <c r="J45" i="1"/>
  <c r="J46" i="1"/>
  <c r="J47" i="1"/>
  <c r="J48" i="1"/>
  <c r="J49" i="1"/>
  <c r="J50" i="1"/>
  <c r="J51" i="1"/>
  <c r="J52" i="1"/>
  <c r="J53" i="1"/>
  <c r="J54" i="1"/>
  <c r="J55" i="1"/>
  <c r="J56" i="1"/>
  <c r="J57" i="1"/>
  <c r="J58" i="1"/>
  <c r="J59" i="1"/>
  <c r="J60" i="1"/>
  <c r="J61" i="1"/>
  <c r="J62" i="1"/>
  <c r="J63" i="1"/>
  <c r="J64" i="1"/>
  <c r="J65" i="1"/>
  <c r="J18" i="1"/>
  <c r="J19" i="1"/>
  <c r="J20" i="1"/>
  <c r="J21" i="1"/>
  <c r="J22" i="1"/>
  <c r="J23" i="1"/>
  <c r="J24" i="1"/>
  <c r="J25" i="1"/>
  <c r="J26" i="1"/>
  <c r="J27" i="1"/>
  <c r="J28" i="1"/>
  <c r="J29" i="1"/>
  <c r="J30" i="1"/>
  <c r="J31" i="1"/>
  <c r="J32" i="1"/>
  <c r="J33" i="1"/>
  <c r="J34" i="1"/>
  <c r="J35" i="1"/>
  <c r="J36" i="1"/>
  <c r="J37" i="1"/>
  <c r="J38" i="1"/>
  <c r="J39" i="1"/>
  <c r="J40" i="1"/>
  <c r="J41" i="1"/>
  <c r="J2" i="1"/>
  <c r="J3" i="1"/>
  <c r="J4" i="1"/>
  <c r="J5" i="1"/>
  <c r="J6" i="1"/>
  <c r="J7" i="1"/>
  <c r="J8" i="1"/>
  <c r="J9" i="1"/>
  <c r="J10" i="1"/>
  <c r="J11" i="1"/>
  <c r="J12" i="1"/>
  <c r="J13" i="1"/>
  <c r="J14" i="1"/>
  <c r="J15" i="1"/>
  <c r="J16" i="1"/>
  <c r="J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89FB80-8CBE-4A63-8CF0-378163571E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4B4FC20-05CB-47EC-8F0C-A78A0E1B194B}" name="WorksheetConnection_Credit_Card_Fraud_Cleaned_Dataset.xlsx!Table1" type="102" refreshedVersion="8" minRefreshableVersion="5">
    <extLst>
      <ext xmlns:x15="http://schemas.microsoft.com/office/spreadsheetml/2010/11/main" uri="{DE250136-89BD-433C-8126-D09CA5730AF9}">
        <x15:connection id="Table1" autoDelete="1">
          <x15:rangePr sourceName="_xlcn.WorksheetConnection_Credit_Card_Fraud_Cleaned_Dataset.xlsxTable11"/>
        </x15:connection>
      </ext>
    </extLst>
  </connection>
  <connection id="3" xr16:uid="{871FAB17-857E-4D35-A35B-CEDDECF1E905}" name="WorksheetConnection_Credit_Card_Fraud_Cleaned_Dataset.xlsx!Table13" type="102" refreshedVersion="8" minRefreshableVersion="5">
    <extLst>
      <ext xmlns:x15="http://schemas.microsoft.com/office/spreadsheetml/2010/11/main" uri="{DE250136-89BD-433C-8126-D09CA5730AF9}">
        <x15:connection id="Table13" autoDelete="1">
          <x15:rangePr sourceName="_xlcn.WorksheetConnection_Credit_Card_Fraud_Cleaned_Dataset.xlsxTable131"/>
        </x15:connection>
      </ext>
    </extLst>
  </connection>
</connections>
</file>

<file path=xl/sharedStrings.xml><?xml version="1.0" encoding="utf-8"?>
<sst xmlns="http://schemas.openxmlformats.org/spreadsheetml/2006/main" count="10089" uniqueCount="1042">
  <si>
    <t>Transaction_ID</t>
  </si>
  <si>
    <t>Customer_ID</t>
  </si>
  <si>
    <t>Date</t>
  </si>
  <si>
    <t>Location</t>
  </si>
  <si>
    <t>Transaction_Type</t>
  </si>
  <si>
    <t>Card_Type</t>
  </si>
  <si>
    <t>Merchant_Category</t>
  </si>
  <si>
    <t>Amount</t>
  </si>
  <si>
    <t>Is_Fraud</t>
  </si>
  <si>
    <t>2025-01-01 00:00:00</t>
  </si>
  <si>
    <t>Mumbai</t>
  </si>
  <si>
    <t>Online</t>
  </si>
  <si>
    <t>Debit</t>
  </si>
  <si>
    <t>Travel</t>
  </si>
  <si>
    <t>2025-01-01 01:00:00</t>
  </si>
  <si>
    <t>Hyderabad</t>
  </si>
  <si>
    <t>ATM</t>
  </si>
  <si>
    <t>Credit</t>
  </si>
  <si>
    <t>Food</t>
  </si>
  <si>
    <t>2025-01-01 02:00:00</t>
  </si>
  <si>
    <t>Bangalore</t>
  </si>
  <si>
    <t>Grocery</t>
  </si>
  <si>
    <t>2025-01-01 03:00:00</t>
  </si>
  <si>
    <t>Delhi</t>
  </si>
  <si>
    <t>POS</t>
  </si>
  <si>
    <t>Electronics</t>
  </si>
  <si>
    <t>2025-01-01 04:00:00</t>
  </si>
  <si>
    <t>2025-01-01 05:00:00</t>
  </si>
  <si>
    <t>2025-01-01 06:00:00</t>
  </si>
  <si>
    <t>Chennai</t>
  </si>
  <si>
    <t>2025-01-01 07:00:00</t>
  </si>
  <si>
    <t>Fashion</t>
  </si>
  <si>
    <t>2025-01-01 08:00:00</t>
  </si>
  <si>
    <t>2025-01-01 09:00:00</t>
  </si>
  <si>
    <t>2025-01-01 10:00:00</t>
  </si>
  <si>
    <t>2025-01-01 11:00:00</t>
  </si>
  <si>
    <t>2025-01-01 12:00:00</t>
  </si>
  <si>
    <t>2025-01-01 13:00:00</t>
  </si>
  <si>
    <t>2025-01-01 14:00:00</t>
  </si>
  <si>
    <t>2025-01-01 15:00:00</t>
  </si>
  <si>
    <t>2025-01-01 16:00:00</t>
  </si>
  <si>
    <t>2025-01-01 17:00:00</t>
  </si>
  <si>
    <t>2025-01-01 18:00:00</t>
  </si>
  <si>
    <t>2025-01-01 19:00:00</t>
  </si>
  <si>
    <t>2025-01-01 20:00:00</t>
  </si>
  <si>
    <t>2025-01-01 21:00:00</t>
  </si>
  <si>
    <t>2025-01-01 22:00:00</t>
  </si>
  <si>
    <t>2025-01-01 23:00:00</t>
  </si>
  <si>
    <t>2025-01-02 00:00:00</t>
  </si>
  <si>
    <t>2025-01-02 01:00:00</t>
  </si>
  <si>
    <t>2025-01-02 02:00:00</t>
  </si>
  <si>
    <t>2025-01-02 03:00:00</t>
  </si>
  <si>
    <t>2025-01-02 04:00:00</t>
  </si>
  <si>
    <t>2025-01-02 05:00:00</t>
  </si>
  <si>
    <t>2025-01-02 06:00:00</t>
  </si>
  <si>
    <t>2025-01-02 07:00:00</t>
  </si>
  <si>
    <t>2025-01-02 08:00:00</t>
  </si>
  <si>
    <t>2025-01-02 09:00:00</t>
  </si>
  <si>
    <t>2025-01-02 10:00:00</t>
  </si>
  <si>
    <t>2025-01-02 11:00:00</t>
  </si>
  <si>
    <t>2025-01-02 12:00:00</t>
  </si>
  <si>
    <t>2025-01-02 13:00:00</t>
  </si>
  <si>
    <t>2025-01-02 14:00:00</t>
  </si>
  <si>
    <t>2025-01-02 15:00:00</t>
  </si>
  <si>
    <t>2025-01-02 16:00:00</t>
  </si>
  <si>
    <t>2025-01-02 17:00:00</t>
  </si>
  <si>
    <t>2025-01-02 18:00:00</t>
  </si>
  <si>
    <t>2025-01-02 19:00:00</t>
  </si>
  <si>
    <t>2025-01-02 20:00:00</t>
  </si>
  <si>
    <t>2025-01-02 21:00:00</t>
  </si>
  <si>
    <t>2025-01-02 22:00:00</t>
  </si>
  <si>
    <t>2025-01-02 23:00:00</t>
  </si>
  <si>
    <t>2025-01-03 00:00:00</t>
  </si>
  <si>
    <t>2025-01-03 01:00:00</t>
  </si>
  <si>
    <t>2025-01-03 02:00:00</t>
  </si>
  <si>
    <t>2025-01-03 03:00:00</t>
  </si>
  <si>
    <t>2025-01-03 04:00:00</t>
  </si>
  <si>
    <t>2025-01-03 05:00:00</t>
  </si>
  <si>
    <t>2025-01-03 06:00:00</t>
  </si>
  <si>
    <t>2025-01-03 07:00:00</t>
  </si>
  <si>
    <t>2025-01-03 08:00:00</t>
  </si>
  <si>
    <t>2025-01-03 09:00:00</t>
  </si>
  <si>
    <t>2025-01-03 10:00:00</t>
  </si>
  <si>
    <t>2025-01-03 11:00:00</t>
  </si>
  <si>
    <t>2025-01-03 12:00:00</t>
  </si>
  <si>
    <t>2025-01-03 13:00:00</t>
  </si>
  <si>
    <t>2025-01-03 14:00:00</t>
  </si>
  <si>
    <t>2025-01-03 15:00:00</t>
  </si>
  <si>
    <t>2025-01-03 16:00:00</t>
  </si>
  <si>
    <t>2025-01-03 17:00:00</t>
  </si>
  <si>
    <t>2025-01-03 18:00:00</t>
  </si>
  <si>
    <t>2025-01-03 19:00:00</t>
  </si>
  <si>
    <t>2025-01-03 20:00:00</t>
  </si>
  <si>
    <t>2025-01-03 21:00:00</t>
  </si>
  <si>
    <t>2025-01-03 22:00:00</t>
  </si>
  <si>
    <t>2025-01-03 23:00:00</t>
  </si>
  <si>
    <t>2025-01-04 00:00:00</t>
  </si>
  <si>
    <t>2025-01-04 01:00:00</t>
  </si>
  <si>
    <t>2025-01-04 02:00:00</t>
  </si>
  <si>
    <t>2025-01-04 03:00:00</t>
  </si>
  <si>
    <t>2025-01-04 04:00:00</t>
  </si>
  <si>
    <t>2025-01-04 05:00:00</t>
  </si>
  <si>
    <t>2025-01-04 06:00:00</t>
  </si>
  <si>
    <t>2025-01-04 07:00:00</t>
  </si>
  <si>
    <t>2025-01-04 08:00:00</t>
  </si>
  <si>
    <t>2025-01-04 09:00:00</t>
  </si>
  <si>
    <t>2025-01-04 10:00:00</t>
  </si>
  <si>
    <t>2025-01-04 11:00:00</t>
  </si>
  <si>
    <t>2025-01-04 12:00:00</t>
  </si>
  <si>
    <t>2025-01-04 13:00:00</t>
  </si>
  <si>
    <t>2025-01-04 14:00:00</t>
  </si>
  <si>
    <t>2025-01-04 15:00:00</t>
  </si>
  <si>
    <t>2025-01-04 16:00:00</t>
  </si>
  <si>
    <t>2025-01-04 17:00:00</t>
  </si>
  <si>
    <t>2025-01-04 18:00:00</t>
  </si>
  <si>
    <t>2025-01-04 19:00:00</t>
  </si>
  <si>
    <t>2025-01-04 20:00:00</t>
  </si>
  <si>
    <t>2025-01-04 21:00:00</t>
  </si>
  <si>
    <t>2025-01-04 22:00:00</t>
  </si>
  <si>
    <t>2025-01-04 23:00:00</t>
  </si>
  <si>
    <t>2025-01-05 00:00:00</t>
  </si>
  <si>
    <t>2025-01-05 01:00:00</t>
  </si>
  <si>
    <t>2025-01-05 02:00:00</t>
  </si>
  <si>
    <t>2025-01-05 03:00:00</t>
  </si>
  <si>
    <t>2025-01-05 04:00:00</t>
  </si>
  <si>
    <t>2025-01-05 05:00:00</t>
  </si>
  <si>
    <t>2025-01-05 06:00:00</t>
  </si>
  <si>
    <t>2025-01-05 07:00:00</t>
  </si>
  <si>
    <t>2025-01-05 08:00:00</t>
  </si>
  <si>
    <t>2025-01-05 09:00:00</t>
  </si>
  <si>
    <t>2025-01-05 10:00:00</t>
  </si>
  <si>
    <t>2025-01-05 11:00:00</t>
  </si>
  <si>
    <t>2025-01-05 12:00:00</t>
  </si>
  <si>
    <t>2025-01-05 13:00:00</t>
  </si>
  <si>
    <t>2025-01-05 14:00:00</t>
  </si>
  <si>
    <t>2025-01-05 15:00:00</t>
  </si>
  <si>
    <t>2025-01-05 16:00:00</t>
  </si>
  <si>
    <t>2025-01-05 17:00:00</t>
  </si>
  <si>
    <t>2025-01-05 18:00:00</t>
  </si>
  <si>
    <t>2025-01-05 19:00:00</t>
  </si>
  <si>
    <t>2025-01-05 20:00:00</t>
  </si>
  <si>
    <t>2025-01-05 21:00:00</t>
  </si>
  <si>
    <t>2025-01-05 22:00:00</t>
  </si>
  <si>
    <t>2025-01-05 23:00:00</t>
  </si>
  <si>
    <t>2025-01-06 00:00:00</t>
  </si>
  <si>
    <t>2025-01-06 01:00:00</t>
  </si>
  <si>
    <t>2025-01-06 02:00:00</t>
  </si>
  <si>
    <t>2025-01-06 03:00:00</t>
  </si>
  <si>
    <t>2025-01-06 04:00:00</t>
  </si>
  <si>
    <t>2025-01-06 05:00:00</t>
  </si>
  <si>
    <t>2025-01-06 06:00:00</t>
  </si>
  <si>
    <t>2025-01-06 07:00:00</t>
  </si>
  <si>
    <t>2025-01-06 08:00:00</t>
  </si>
  <si>
    <t>2025-01-06 09:00:00</t>
  </si>
  <si>
    <t>2025-01-06 10:00:00</t>
  </si>
  <si>
    <t>2025-01-06 11:00:00</t>
  </si>
  <si>
    <t>2025-01-06 12:00:00</t>
  </si>
  <si>
    <t>2025-01-06 13:00:00</t>
  </si>
  <si>
    <t>2025-01-06 14:00:00</t>
  </si>
  <si>
    <t>2025-01-06 15:00:00</t>
  </si>
  <si>
    <t>2025-01-06 16:00:00</t>
  </si>
  <si>
    <t>2025-01-06 17:00:00</t>
  </si>
  <si>
    <t>2025-01-06 18:00:00</t>
  </si>
  <si>
    <t>2025-01-06 19:00:00</t>
  </si>
  <si>
    <t>2025-01-06 20:00:00</t>
  </si>
  <si>
    <t>2025-01-06 21:00:00</t>
  </si>
  <si>
    <t>2025-01-06 22:00:00</t>
  </si>
  <si>
    <t>2025-01-06 23:00:00</t>
  </si>
  <si>
    <t>2025-01-07 00:00:00</t>
  </si>
  <si>
    <t>2025-01-07 01:00:00</t>
  </si>
  <si>
    <t>2025-01-07 02:00:00</t>
  </si>
  <si>
    <t>2025-01-07 03:00:00</t>
  </si>
  <si>
    <t>2025-01-07 04:00:00</t>
  </si>
  <si>
    <t>2025-01-07 05:00:00</t>
  </si>
  <si>
    <t>2025-01-07 06:00:00</t>
  </si>
  <si>
    <t>2025-01-07 07:00:00</t>
  </si>
  <si>
    <t>2025-01-07 08:00:00</t>
  </si>
  <si>
    <t>2025-01-07 09:00:00</t>
  </si>
  <si>
    <t>2025-01-07 10:00:00</t>
  </si>
  <si>
    <t>2025-01-07 11:00:00</t>
  </si>
  <si>
    <t>2025-01-07 12:00:00</t>
  </si>
  <si>
    <t>2025-01-07 13:00:00</t>
  </si>
  <si>
    <t>2025-01-07 14:00:00</t>
  </si>
  <si>
    <t>2025-01-07 15:00:00</t>
  </si>
  <si>
    <t>2025-01-07 16:00:00</t>
  </si>
  <si>
    <t>2025-01-07 17:00:00</t>
  </si>
  <si>
    <t>2025-01-07 18:00:00</t>
  </si>
  <si>
    <t>2025-01-07 19:00:00</t>
  </si>
  <si>
    <t>2025-01-07 20:00:00</t>
  </si>
  <si>
    <t>2025-01-07 21:00:00</t>
  </si>
  <si>
    <t>2025-01-07 22:00:00</t>
  </si>
  <si>
    <t>2025-01-07 23:00:00</t>
  </si>
  <si>
    <t>2025-01-08 00:00:00</t>
  </si>
  <si>
    <t>2025-01-08 01:00:00</t>
  </si>
  <si>
    <t>2025-01-08 02:00:00</t>
  </si>
  <si>
    <t>2025-01-08 03:00:00</t>
  </si>
  <si>
    <t>2025-01-08 04:00:00</t>
  </si>
  <si>
    <t>2025-01-08 05:00:00</t>
  </si>
  <si>
    <t>2025-01-08 06:00:00</t>
  </si>
  <si>
    <t>2025-01-08 07:00:00</t>
  </si>
  <si>
    <t>2025-01-08 08:00:00</t>
  </si>
  <si>
    <t>2025-01-08 09:00:00</t>
  </si>
  <si>
    <t>2025-01-08 10:00:00</t>
  </si>
  <si>
    <t>2025-01-08 11:00:00</t>
  </si>
  <si>
    <t>2025-01-08 12:00:00</t>
  </si>
  <si>
    <t>2025-01-08 13:00:00</t>
  </si>
  <si>
    <t>2025-01-08 14:00:00</t>
  </si>
  <si>
    <t>2025-01-08 15:00:00</t>
  </si>
  <si>
    <t>2025-01-08 16:00:00</t>
  </si>
  <si>
    <t>2025-01-08 17:00:00</t>
  </si>
  <si>
    <t>2025-01-08 18:00:00</t>
  </si>
  <si>
    <t>2025-01-08 19:00:00</t>
  </si>
  <si>
    <t>2025-01-08 20:00:00</t>
  </si>
  <si>
    <t>2025-01-08 21:00:00</t>
  </si>
  <si>
    <t>2025-01-08 22:00:00</t>
  </si>
  <si>
    <t>2025-01-08 23:00:00</t>
  </si>
  <si>
    <t>2025-01-09 00:00:00</t>
  </si>
  <si>
    <t>2025-01-09 01:00:00</t>
  </si>
  <si>
    <t>2025-01-09 02:00:00</t>
  </si>
  <si>
    <t>2025-01-09 03:00:00</t>
  </si>
  <si>
    <t>2025-01-09 04:00:00</t>
  </si>
  <si>
    <t>2025-01-09 05:00:00</t>
  </si>
  <si>
    <t>2025-01-09 06:00:00</t>
  </si>
  <si>
    <t>2025-01-09 07:00:00</t>
  </si>
  <si>
    <t>2025-01-09 08:00:00</t>
  </si>
  <si>
    <t>2025-01-09 09:00:00</t>
  </si>
  <si>
    <t>2025-01-09 10:00:00</t>
  </si>
  <si>
    <t>2025-01-09 11:00:00</t>
  </si>
  <si>
    <t>2025-01-09 12:00:00</t>
  </si>
  <si>
    <t>2025-01-09 13:00:00</t>
  </si>
  <si>
    <t>2025-01-09 14:00:00</t>
  </si>
  <si>
    <t>2025-01-09 15:00:00</t>
  </si>
  <si>
    <t>2025-01-09 16:00:00</t>
  </si>
  <si>
    <t>2025-01-09 17:00:00</t>
  </si>
  <si>
    <t>2025-01-09 18:00:00</t>
  </si>
  <si>
    <t>2025-01-09 19:00:00</t>
  </si>
  <si>
    <t>2025-01-09 20:00:00</t>
  </si>
  <si>
    <t>2025-01-09 21:00:00</t>
  </si>
  <si>
    <t>2025-01-09 22:00:00</t>
  </si>
  <si>
    <t>2025-01-09 23:00:00</t>
  </si>
  <si>
    <t>2025-01-10 00:00:00</t>
  </si>
  <si>
    <t>2025-01-10 01:00:00</t>
  </si>
  <si>
    <t>2025-01-10 02:00:00</t>
  </si>
  <si>
    <t>2025-01-10 03:00:00</t>
  </si>
  <si>
    <t>2025-01-10 04:00:00</t>
  </si>
  <si>
    <t>2025-01-10 05:00:00</t>
  </si>
  <si>
    <t>2025-01-10 06:00:00</t>
  </si>
  <si>
    <t>2025-01-10 07:00:00</t>
  </si>
  <si>
    <t>2025-01-10 08:00:00</t>
  </si>
  <si>
    <t>2025-01-10 09:00:00</t>
  </si>
  <si>
    <t>2025-01-10 10:00:00</t>
  </si>
  <si>
    <t>2025-01-10 11:00:00</t>
  </si>
  <si>
    <t>2025-01-10 12:00:00</t>
  </si>
  <si>
    <t>2025-01-10 13:00:00</t>
  </si>
  <si>
    <t>2025-01-10 14:00:00</t>
  </si>
  <si>
    <t>2025-01-10 15:00:00</t>
  </si>
  <si>
    <t>2025-01-10 16:00:00</t>
  </si>
  <si>
    <t>2025-01-10 17:00:00</t>
  </si>
  <si>
    <t>2025-01-10 18:00:00</t>
  </si>
  <si>
    <t>2025-01-10 19:00:00</t>
  </si>
  <si>
    <t>2025-01-10 20:00:00</t>
  </si>
  <si>
    <t>2025-01-10 21:00:00</t>
  </si>
  <si>
    <t>2025-01-10 22:00:00</t>
  </si>
  <si>
    <t>2025-01-10 23:00:00</t>
  </si>
  <si>
    <t>2025-01-11 00:00:00</t>
  </si>
  <si>
    <t>2025-01-11 01:00:00</t>
  </si>
  <si>
    <t>2025-01-11 02:00:00</t>
  </si>
  <si>
    <t>2025-01-11 03:00:00</t>
  </si>
  <si>
    <t>2025-01-11 04:00:00</t>
  </si>
  <si>
    <t>2025-01-11 05:00:00</t>
  </si>
  <si>
    <t>2025-01-11 06:00:00</t>
  </si>
  <si>
    <t>2025-01-11 07:00:00</t>
  </si>
  <si>
    <t>2025-01-11 08:00:00</t>
  </si>
  <si>
    <t>2025-01-11 09:00:00</t>
  </si>
  <si>
    <t>2025-01-11 10:00:00</t>
  </si>
  <si>
    <t>2025-01-11 11:00:00</t>
  </si>
  <si>
    <t>2025-01-11 12:00:00</t>
  </si>
  <si>
    <t>2025-01-11 13:00:00</t>
  </si>
  <si>
    <t>2025-01-11 14:00:00</t>
  </si>
  <si>
    <t>2025-01-11 15:00:00</t>
  </si>
  <si>
    <t>2025-01-11 16:00:00</t>
  </si>
  <si>
    <t>2025-01-11 17:00:00</t>
  </si>
  <si>
    <t>2025-01-11 18:00:00</t>
  </si>
  <si>
    <t>2025-01-11 19:00:00</t>
  </si>
  <si>
    <t>2025-01-11 20:00:00</t>
  </si>
  <si>
    <t>2025-01-11 21:00:00</t>
  </si>
  <si>
    <t>2025-01-11 22:00:00</t>
  </si>
  <si>
    <t>2025-01-11 23:00:00</t>
  </si>
  <si>
    <t>2025-01-12 00:00:00</t>
  </si>
  <si>
    <t>2025-01-12 01:00:00</t>
  </si>
  <si>
    <t>2025-01-12 02:00:00</t>
  </si>
  <si>
    <t>2025-01-12 03:00:00</t>
  </si>
  <si>
    <t>2025-01-12 04:00:00</t>
  </si>
  <si>
    <t>2025-01-12 05:00:00</t>
  </si>
  <si>
    <t>2025-01-12 06:00:00</t>
  </si>
  <si>
    <t>2025-01-12 07:00:00</t>
  </si>
  <si>
    <t>2025-01-12 08:00:00</t>
  </si>
  <si>
    <t>2025-01-12 09:00:00</t>
  </si>
  <si>
    <t>2025-01-12 10:00:00</t>
  </si>
  <si>
    <t>2025-01-12 11:00:00</t>
  </si>
  <si>
    <t>2025-01-12 12:00:00</t>
  </si>
  <si>
    <t>2025-01-12 13:00:00</t>
  </si>
  <si>
    <t>2025-01-12 14:00:00</t>
  </si>
  <si>
    <t>2025-01-12 15:00:00</t>
  </si>
  <si>
    <t>2025-01-12 16:00:00</t>
  </si>
  <si>
    <t>2025-01-12 17:00:00</t>
  </si>
  <si>
    <t>2025-01-12 18:00:00</t>
  </si>
  <si>
    <t>2025-01-12 19:00:00</t>
  </si>
  <si>
    <t>2025-01-12 20:00:00</t>
  </si>
  <si>
    <t>2025-01-12 21:00:00</t>
  </si>
  <si>
    <t>2025-01-12 22:00:00</t>
  </si>
  <si>
    <t>2025-01-12 23:00:00</t>
  </si>
  <si>
    <t>2025-01-13 00:00:00</t>
  </si>
  <si>
    <t>2025-01-13 01:00:00</t>
  </si>
  <si>
    <t>2025-01-13 02:00:00</t>
  </si>
  <si>
    <t>2025-01-13 03:00:00</t>
  </si>
  <si>
    <t>2025-01-13 04:00:00</t>
  </si>
  <si>
    <t>2025-01-13 05:00:00</t>
  </si>
  <si>
    <t>2025-01-13 06:00:00</t>
  </si>
  <si>
    <t>2025-01-13 07:00:00</t>
  </si>
  <si>
    <t>2025-01-13 08:00:00</t>
  </si>
  <si>
    <t>2025-01-13 09:00:00</t>
  </si>
  <si>
    <t>2025-01-13 10:00:00</t>
  </si>
  <si>
    <t>2025-01-13 11:00:00</t>
  </si>
  <si>
    <t>2025-01-13 12:00:00</t>
  </si>
  <si>
    <t>2025-01-13 13:00:00</t>
  </si>
  <si>
    <t>2025-01-13 14:00:00</t>
  </si>
  <si>
    <t>2025-01-13 15:00:00</t>
  </si>
  <si>
    <t>2025-01-13 16:00:00</t>
  </si>
  <si>
    <t>2025-01-13 17:00:00</t>
  </si>
  <si>
    <t>2025-01-13 18:00:00</t>
  </si>
  <si>
    <t>2025-01-13 19:00:00</t>
  </si>
  <si>
    <t>2025-01-13 20:00:00</t>
  </si>
  <si>
    <t>2025-01-13 21:00:00</t>
  </si>
  <si>
    <t>2025-01-13 22:00:00</t>
  </si>
  <si>
    <t>2025-01-13 23:00:00</t>
  </si>
  <si>
    <t>2025-01-14 00:00:00</t>
  </si>
  <si>
    <t>2025-01-14 01:00:00</t>
  </si>
  <si>
    <t>2025-01-14 02:00:00</t>
  </si>
  <si>
    <t>2025-01-14 03:00:00</t>
  </si>
  <si>
    <t>2025-01-14 04:00:00</t>
  </si>
  <si>
    <t>2025-01-14 05:00:00</t>
  </si>
  <si>
    <t>2025-01-14 06:00:00</t>
  </si>
  <si>
    <t>2025-01-14 07:00:00</t>
  </si>
  <si>
    <t>2025-01-14 08:00:00</t>
  </si>
  <si>
    <t>2025-01-14 09:00:00</t>
  </si>
  <si>
    <t>2025-01-14 10:00:00</t>
  </si>
  <si>
    <t>2025-01-14 11:00:00</t>
  </si>
  <si>
    <t>2025-01-14 12:00:00</t>
  </si>
  <si>
    <t>2025-01-14 13:00:00</t>
  </si>
  <si>
    <t>2025-01-14 14:00:00</t>
  </si>
  <si>
    <t>2025-01-14 15:00:00</t>
  </si>
  <si>
    <t>2025-01-14 16:00:00</t>
  </si>
  <si>
    <t>2025-01-14 17:00:00</t>
  </si>
  <si>
    <t>2025-01-14 18:00:00</t>
  </si>
  <si>
    <t>2025-01-14 19:00:00</t>
  </si>
  <si>
    <t>2025-01-14 20:00:00</t>
  </si>
  <si>
    <t>2025-01-14 21:00:00</t>
  </si>
  <si>
    <t>2025-01-14 22:00:00</t>
  </si>
  <si>
    <t>2025-01-14 23:00:00</t>
  </si>
  <si>
    <t>2025-01-15 00:00:00</t>
  </si>
  <si>
    <t>2025-01-15 01:00:00</t>
  </si>
  <si>
    <t>2025-01-15 02:00:00</t>
  </si>
  <si>
    <t>2025-01-15 03:00:00</t>
  </si>
  <si>
    <t>2025-01-15 04:00:00</t>
  </si>
  <si>
    <t>2025-01-15 05:00:00</t>
  </si>
  <si>
    <t>2025-01-15 06:00:00</t>
  </si>
  <si>
    <t>2025-01-15 07:00:00</t>
  </si>
  <si>
    <t>2025-01-15 08:00:00</t>
  </si>
  <si>
    <t>2025-01-15 09:00:00</t>
  </si>
  <si>
    <t>2025-01-15 10:00:00</t>
  </si>
  <si>
    <t>2025-01-15 11:00:00</t>
  </si>
  <si>
    <t>2025-01-15 12:00:00</t>
  </si>
  <si>
    <t>2025-01-15 13:00:00</t>
  </si>
  <si>
    <t>2025-01-15 14:00:00</t>
  </si>
  <si>
    <t>2025-01-15 15:00:00</t>
  </si>
  <si>
    <t>2025-01-15 16:00:00</t>
  </si>
  <si>
    <t>2025-01-15 17:00:00</t>
  </si>
  <si>
    <t>2025-01-15 18:00:00</t>
  </si>
  <si>
    <t>2025-01-15 19:00:00</t>
  </si>
  <si>
    <t>2025-01-15 20:00:00</t>
  </si>
  <si>
    <t>2025-01-15 21:00:00</t>
  </si>
  <si>
    <t>2025-01-15 22:00:00</t>
  </si>
  <si>
    <t>2025-01-15 23:00:00</t>
  </si>
  <si>
    <t>2025-01-16 00:00:00</t>
  </si>
  <si>
    <t>2025-01-16 01:00:00</t>
  </si>
  <si>
    <t>2025-01-16 02:00:00</t>
  </si>
  <si>
    <t>2025-01-16 03:00:00</t>
  </si>
  <si>
    <t>2025-01-16 04:00:00</t>
  </si>
  <si>
    <t>2025-01-16 05:00:00</t>
  </si>
  <si>
    <t>2025-01-16 06:00:00</t>
  </si>
  <si>
    <t>2025-01-16 07:00:00</t>
  </si>
  <si>
    <t>2025-01-16 08:00:00</t>
  </si>
  <si>
    <t>2025-01-16 09:00:00</t>
  </si>
  <si>
    <t>2025-01-16 10:00:00</t>
  </si>
  <si>
    <t>2025-01-16 11:00:00</t>
  </si>
  <si>
    <t>2025-01-16 12:00:00</t>
  </si>
  <si>
    <t>2025-01-16 13:00:00</t>
  </si>
  <si>
    <t>2025-01-16 14:00:00</t>
  </si>
  <si>
    <t>2025-01-16 15:00:00</t>
  </si>
  <si>
    <t>2025-01-16 16:00:00</t>
  </si>
  <si>
    <t>2025-01-16 17:00:00</t>
  </si>
  <si>
    <t>2025-01-16 18:00:00</t>
  </si>
  <si>
    <t>2025-01-16 19:00:00</t>
  </si>
  <si>
    <t>2025-01-16 20:00:00</t>
  </si>
  <si>
    <t>2025-01-16 21:00:00</t>
  </si>
  <si>
    <t>2025-01-16 22:00:00</t>
  </si>
  <si>
    <t>2025-01-16 23:00:00</t>
  </si>
  <si>
    <t>2025-01-17 00:00:00</t>
  </si>
  <si>
    <t>2025-01-17 01:00:00</t>
  </si>
  <si>
    <t>2025-01-17 02:00:00</t>
  </si>
  <si>
    <t>2025-01-17 03:00:00</t>
  </si>
  <si>
    <t>2025-01-17 04:00:00</t>
  </si>
  <si>
    <t>2025-01-17 05:00:00</t>
  </si>
  <si>
    <t>2025-01-17 06:00:00</t>
  </si>
  <si>
    <t>2025-01-17 07:00:00</t>
  </si>
  <si>
    <t>2025-01-17 08:00:00</t>
  </si>
  <si>
    <t>2025-01-17 09:00:00</t>
  </si>
  <si>
    <t>2025-01-17 10:00:00</t>
  </si>
  <si>
    <t>2025-01-17 11:00:00</t>
  </si>
  <si>
    <t>2025-01-17 12:00:00</t>
  </si>
  <si>
    <t>2025-01-17 13:00:00</t>
  </si>
  <si>
    <t>2025-01-17 14:00:00</t>
  </si>
  <si>
    <t>2025-01-17 15:00:00</t>
  </si>
  <si>
    <t>2025-01-17 16:00:00</t>
  </si>
  <si>
    <t>2025-01-17 17:00:00</t>
  </si>
  <si>
    <t>2025-01-17 18:00:00</t>
  </si>
  <si>
    <t>2025-01-17 19:00:00</t>
  </si>
  <si>
    <t>2025-01-17 20:00:00</t>
  </si>
  <si>
    <t>2025-01-17 21:00:00</t>
  </si>
  <si>
    <t>2025-01-17 22:00:00</t>
  </si>
  <si>
    <t>2025-01-17 23:00:00</t>
  </si>
  <si>
    <t>2025-01-18 00:00:00</t>
  </si>
  <si>
    <t>2025-01-18 01:00:00</t>
  </si>
  <si>
    <t>2025-01-18 02:00:00</t>
  </si>
  <si>
    <t>2025-01-18 03:00:00</t>
  </si>
  <si>
    <t>2025-01-18 04:00:00</t>
  </si>
  <si>
    <t>2025-01-18 05:00:00</t>
  </si>
  <si>
    <t>2025-01-18 06:00:00</t>
  </si>
  <si>
    <t>2025-01-18 07:00:00</t>
  </si>
  <si>
    <t>2025-01-18 08:00:00</t>
  </si>
  <si>
    <t>2025-01-18 09:00:00</t>
  </si>
  <si>
    <t>2025-01-18 10:00:00</t>
  </si>
  <si>
    <t>2025-01-18 11:00:00</t>
  </si>
  <si>
    <t>2025-01-18 12:00:00</t>
  </si>
  <si>
    <t>2025-01-18 13:00:00</t>
  </si>
  <si>
    <t>2025-01-18 14:00:00</t>
  </si>
  <si>
    <t>2025-01-18 15:00:00</t>
  </si>
  <si>
    <t>2025-01-18 16:00:00</t>
  </si>
  <si>
    <t>2025-01-18 17:00:00</t>
  </si>
  <si>
    <t>2025-01-18 18:00:00</t>
  </si>
  <si>
    <t>2025-01-18 19:00:00</t>
  </si>
  <si>
    <t>2025-01-18 20:00:00</t>
  </si>
  <si>
    <t>2025-01-18 21:00:00</t>
  </si>
  <si>
    <t>2025-01-18 22:00:00</t>
  </si>
  <si>
    <t>2025-01-18 23:00:00</t>
  </si>
  <si>
    <t>2025-01-19 00:00:00</t>
  </si>
  <si>
    <t>2025-01-19 01:00:00</t>
  </si>
  <si>
    <t>2025-01-19 02:00:00</t>
  </si>
  <si>
    <t>2025-01-19 03:00:00</t>
  </si>
  <si>
    <t>2025-01-19 04:00:00</t>
  </si>
  <si>
    <t>2025-01-19 05:00:00</t>
  </si>
  <si>
    <t>2025-01-19 06:00:00</t>
  </si>
  <si>
    <t>2025-01-19 07:00:00</t>
  </si>
  <si>
    <t>2025-01-19 08:00:00</t>
  </si>
  <si>
    <t>2025-01-19 09:00:00</t>
  </si>
  <si>
    <t>2025-01-19 10:00:00</t>
  </si>
  <si>
    <t>2025-01-19 11:00:00</t>
  </si>
  <si>
    <t>2025-01-19 12:00:00</t>
  </si>
  <si>
    <t>2025-01-19 13:00:00</t>
  </si>
  <si>
    <t>2025-01-19 14:00:00</t>
  </si>
  <si>
    <t>2025-01-19 15:00:00</t>
  </si>
  <si>
    <t>2025-01-19 16:00:00</t>
  </si>
  <si>
    <t>2025-01-19 17:00:00</t>
  </si>
  <si>
    <t>2025-01-19 18:00:00</t>
  </si>
  <si>
    <t>2025-01-19 19:00:00</t>
  </si>
  <si>
    <t>2025-01-19 20:00:00</t>
  </si>
  <si>
    <t>2025-01-19 21:00:00</t>
  </si>
  <si>
    <t>2025-01-19 22:00:00</t>
  </si>
  <si>
    <t>2025-01-19 23:00:00</t>
  </si>
  <si>
    <t>2025-01-20 00:00:00</t>
  </si>
  <si>
    <t>2025-01-20 01:00:00</t>
  </si>
  <si>
    <t>2025-01-20 02:00:00</t>
  </si>
  <si>
    <t>2025-01-20 03:00:00</t>
  </si>
  <si>
    <t>2025-01-20 04:00:00</t>
  </si>
  <si>
    <t>2025-01-20 05:00:00</t>
  </si>
  <si>
    <t>2025-01-20 06:00:00</t>
  </si>
  <si>
    <t>2025-01-20 07:00:00</t>
  </si>
  <si>
    <t>2025-01-20 08:00:00</t>
  </si>
  <si>
    <t>2025-01-20 09:00:00</t>
  </si>
  <si>
    <t>2025-01-20 10:00:00</t>
  </si>
  <si>
    <t>2025-01-20 11:00:00</t>
  </si>
  <si>
    <t>2025-01-20 12:00:00</t>
  </si>
  <si>
    <t>2025-01-20 13:00:00</t>
  </si>
  <si>
    <t>2025-01-20 14:00:00</t>
  </si>
  <si>
    <t>2025-01-20 15:00:00</t>
  </si>
  <si>
    <t>2025-01-20 16:00:00</t>
  </si>
  <si>
    <t>2025-01-20 17:00:00</t>
  </si>
  <si>
    <t>2025-01-20 18:00:00</t>
  </si>
  <si>
    <t>2025-01-20 19:00:00</t>
  </si>
  <si>
    <t>2025-01-20 20:00:00</t>
  </si>
  <si>
    <t>2025-01-20 21:00:00</t>
  </si>
  <si>
    <t>2025-01-20 22:00:00</t>
  </si>
  <si>
    <t>2025-01-20 23:00:00</t>
  </si>
  <si>
    <t>2025-01-21 00:00:00</t>
  </si>
  <si>
    <t>2025-01-21 01:00:00</t>
  </si>
  <si>
    <t>2025-01-21 02:00:00</t>
  </si>
  <si>
    <t>2025-01-21 03:00:00</t>
  </si>
  <si>
    <t>2025-01-21 04:00:00</t>
  </si>
  <si>
    <t>2025-01-21 05:00:00</t>
  </si>
  <si>
    <t>2025-01-21 06:00:00</t>
  </si>
  <si>
    <t>2025-01-21 07:00:00</t>
  </si>
  <si>
    <t>2025-01-21 08:00:00</t>
  </si>
  <si>
    <t>2025-01-21 09:00:00</t>
  </si>
  <si>
    <t>2025-01-21 10:00:00</t>
  </si>
  <si>
    <t>2025-01-21 11:00:00</t>
  </si>
  <si>
    <t>2025-01-21 12:00:00</t>
  </si>
  <si>
    <t>2025-01-21 13:00:00</t>
  </si>
  <si>
    <t>2025-01-21 14:00:00</t>
  </si>
  <si>
    <t>2025-01-21 15:00:00</t>
  </si>
  <si>
    <t>2025-01-21 16:00:00</t>
  </si>
  <si>
    <t>2025-01-21 17:00:00</t>
  </si>
  <si>
    <t>2025-01-21 18:00:00</t>
  </si>
  <si>
    <t>2025-01-21 19:00:00</t>
  </si>
  <si>
    <t>2025-01-21 20:00:00</t>
  </si>
  <si>
    <t>2025-01-21 21:00:00</t>
  </si>
  <si>
    <t>2025-01-21 22:00:00</t>
  </si>
  <si>
    <t>2025-01-21 23:00:00</t>
  </si>
  <si>
    <t>2025-01-22 00:00:00</t>
  </si>
  <si>
    <t>2025-01-22 01:00:00</t>
  </si>
  <si>
    <t>2025-01-22 02:00:00</t>
  </si>
  <si>
    <t>2025-01-22 03:00:00</t>
  </si>
  <si>
    <t>2025-01-22 04:00:00</t>
  </si>
  <si>
    <t>2025-01-22 05:00:00</t>
  </si>
  <si>
    <t>2025-01-22 06:00:00</t>
  </si>
  <si>
    <t>2025-01-22 07:00:00</t>
  </si>
  <si>
    <t>2025-01-22 08:00:00</t>
  </si>
  <si>
    <t>2025-01-22 09:00:00</t>
  </si>
  <si>
    <t>2025-01-22 10:00:00</t>
  </si>
  <si>
    <t>2025-01-22 11:00:00</t>
  </si>
  <si>
    <t>2025-01-22 12:00:00</t>
  </si>
  <si>
    <t>2025-01-22 13:00:00</t>
  </si>
  <si>
    <t>2025-01-22 14:00:00</t>
  </si>
  <si>
    <t>2025-01-22 15:00:00</t>
  </si>
  <si>
    <t>2025-01-22 16:00:00</t>
  </si>
  <si>
    <t>2025-01-22 17:00:00</t>
  </si>
  <si>
    <t>2025-01-22 18:00:00</t>
  </si>
  <si>
    <t>2025-01-22 19:00:00</t>
  </si>
  <si>
    <t>2025-01-22 20:00:00</t>
  </si>
  <si>
    <t>2025-01-22 21:00:00</t>
  </si>
  <si>
    <t>2025-01-22 22:00:00</t>
  </si>
  <si>
    <t>2025-01-22 23:00:00</t>
  </si>
  <si>
    <t>2025-01-23 00:00:00</t>
  </si>
  <si>
    <t>2025-01-23 01:00:00</t>
  </si>
  <si>
    <t>2025-01-23 02:00:00</t>
  </si>
  <si>
    <t>2025-01-23 03:00:00</t>
  </si>
  <si>
    <t>2025-01-23 04:00:00</t>
  </si>
  <si>
    <t>2025-01-23 05:00:00</t>
  </si>
  <si>
    <t>2025-01-23 06:00:00</t>
  </si>
  <si>
    <t>2025-01-23 07:00:00</t>
  </si>
  <si>
    <t>2025-01-23 08:00:00</t>
  </si>
  <si>
    <t>2025-01-23 09:00:00</t>
  </si>
  <si>
    <t>2025-01-23 10:00:00</t>
  </si>
  <si>
    <t>2025-01-23 11:00:00</t>
  </si>
  <si>
    <t>2025-01-23 12:00:00</t>
  </si>
  <si>
    <t>2025-01-23 13:00:00</t>
  </si>
  <si>
    <t>2025-01-23 14:00:00</t>
  </si>
  <si>
    <t>2025-01-23 15:00:00</t>
  </si>
  <si>
    <t>2025-01-23 16:00:00</t>
  </si>
  <si>
    <t>2025-01-23 17:00:00</t>
  </si>
  <si>
    <t>2025-01-23 18:00:00</t>
  </si>
  <si>
    <t>2025-01-23 19:00:00</t>
  </si>
  <si>
    <t>2025-01-23 20:00:00</t>
  </si>
  <si>
    <t>2025-01-23 21:00:00</t>
  </si>
  <si>
    <t>2025-01-23 22:00:00</t>
  </si>
  <si>
    <t>2025-01-23 23:00:00</t>
  </si>
  <si>
    <t>2025-01-24 00:00:00</t>
  </si>
  <si>
    <t>2025-01-24 01:00:00</t>
  </si>
  <si>
    <t>2025-01-24 02:00:00</t>
  </si>
  <si>
    <t>2025-01-24 03:00:00</t>
  </si>
  <si>
    <t>2025-01-24 04:00:00</t>
  </si>
  <si>
    <t>2025-01-24 05:00:00</t>
  </si>
  <si>
    <t>2025-01-24 06:00:00</t>
  </si>
  <si>
    <t>2025-01-24 07:00:00</t>
  </si>
  <si>
    <t>2025-01-24 08:00:00</t>
  </si>
  <si>
    <t>2025-01-24 09:00:00</t>
  </si>
  <si>
    <t>2025-01-24 10:00:00</t>
  </si>
  <si>
    <t>2025-01-24 11:00:00</t>
  </si>
  <si>
    <t>2025-01-24 12:00:00</t>
  </si>
  <si>
    <t>2025-01-24 13:00:00</t>
  </si>
  <si>
    <t>2025-01-24 14:00:00</t>
  </si>
  <si>
    <t>2025-01-24 15:00:00</t>
  </si>
  <si>
    <t>2025-01-24 16:00:00</t>
  </si>
  <si>
    <t>2025-01-24 17:00:00</t>
  </si>
  <si>
    <t>2025-01-24 18:00:00</t>
  </si>
  <si>
    <t>2025-01-24 19:00:00</t>
  </si>
  <si>
    <t>2025-01-24 20:00:00</t>
  </si>
  <si>
    <t>2025-01-24 21:00:00</t>
  </si>
  <si>
    <t>2025-01-24 22:00:00</t>
  </si>
  <si>
    <t>2025-01-24 23:00:00</t>
  </si>
  <si>
    <t>2025-01-25 00:00:00</t>
  </si>
  <si>
    <t>2025-01-25 01:00:00</t>
  </si>
  <si>
    <t>2025-01-25 02:00:00</t>
  </si>
  <si>
    <t>2025-01-25 03:00:00</t>
  </si>
  <si>
    <t>2025-01-25 04:00:00</t>
  </si>
  <si>
    <t>2025-01-25 05:00:00</t>
  </si>
  <si>
    <t>2025-01-25 06:00:00</t>
  </si>
  <si>
    <t>2025-01-25 07:00:00</t>
  </si>
  <si>
    <t>2025-01-25 08:00:00</t>
  </si>
  <si>
    <t>2025-01-25 09:00:00</t>
  </si>
  <si>
    <t>2025-01-25 10:00:00</t>
  </si>
  <si>
    <t>2025-01-25 11:00:00</t>
  </si>
  <si>
    <t>2025-01-25 12:00:00</t>
  </si>
  <si>
    <t>2025-01-25 13:00:00</t>
  </si>
  <si>
    <t>2025-01-25 14:00:00</t>
  </si>
  <si>
    <t>2025-01-25 15:00:00</t>
  </si>
  <si>
    <t>2025-01-25 16:00:00</t>
  </si>
  <si>
    <t>2025-01-25 17:00:00</t>
  </si>
  <si>
    <t>2025-01-25 18:00:00</t>
  </si>
  <si>
    <t>2025-01-25 19:00:00</t>
  </si>
  <si>
    <t>2025-01-25 20:00:00</t>
  </si>
  <si>
    <t>2025-01-25 21:00:00</t>
  </si>
  <si>
    <t>2025-01-25 22:00:00</t>
  </si>
  <si>
    <t>2025-01-25 23:00:00</t>
  </si>
  <si>
    <t>2025-01-26 00:00:00</t>
  </si>
  <si>
    <t>2025-01-26 01:00:00</t>
  </si>
  <si>
    <t>2025-01-26 02:00:00</t>
  </si>
  <si>
    <t>2025-01-26 03:00:00</t>
  </si>
  <si>
    <t>2025-01-26 04:00:00</t>
  </si>
  <si>
    <t>2025-01-26 05:00:00</t>
  </si>
  <si>
    <t>2025-01-26 06:00:00</t>
  </si>
  <si>
    <t>2025-01-26 07:00:00</t>
  </si>
  <si>
    <t>2025-01-26 08:00:00</t>
  </si>
  <si>
    <t>2025-01-26 09:00:00</t>
  </si>
  <si>
    <t>2025-01-26 10:00:00</t>
  </si>
  <si>
    <t>2025-01-26 11:00:00</t>
  </si>
  <si>
    <t>2025-01-26 12:00:00</t>
  </si>
  <si>
    <t>2025-01-26 13:00:00</t>
  </si>
  <si>
    <t>2025-01-26 14:00:00</t>
  </si>
  <si>
    <t>2025-01-26 15:00:00</t>
  </si>
  <si>
    <t>2025-01-26 16:00:00</t>
  </si>
  <si>
    <t>2025-01-26 17:00:00</t>
  </si>
  <si>
    <t>2025-01-26 18:00:00</t>
  </si>
  <si>
    <t>2025-01-26 19:00:00</t>
  </si>
  <si>
    <t>2025-01-26 20:00:00</t>
  </si>
  <si>
    <t>2025-01-26 21:00:00</t>
  </si>
  <si>
    <t>2025-01-26 22:00:00</t>
  </si>
  <si>
    <t>2025-01-26 23:00:00</t>
  </si>
  <si>
    <t>2025-01-27 00:00:00</t>
  </si>
  <si>
    <t>2025-01-27 01:00:00</t>
  </si>
  <si>
    <t>2025-01-27 02:00:00</t>
  </si>
  <si>
    <t>2025-01-27 03:00:00</t>
  </si>
  <si>
    <t>2025-01-27 04:00:00</t>
  </si>
  <si>
    <t>2025-01-27 05:00:00</t>
  </si>
  <si>
    <t>2025-01-27 06:00:00</t>
  </si>
  <si>
    <t>2025-01-27 07:00:00</t>
  </si>
  <si>
    <t>2025-01-27 08:00:00</t>
  </si>
  <si>
    <t>2025-01-27 09:00:00</t>
  </si>
  <si>
    <t>2025-01-27 10:00:00</t>
  </si>
  <si>
    <t>2025-01-27 11:00:00</t>
  </si>
  <si>
    <t>2025-01-27 12:00:00</t>
  </si>
  <si>
    <t>2025-01-27 13:00:00</t>
  </si>
  <si>
    <t>2025-01-27 14:00:00</t>
  </si>
  <si>
    <t>2025-01-27 15:00:00</t>
  </si>
  <si>
    <t>2025-01-27 16:00:00</t>
  </si>
  <si>
    <t>2025-01-27 17:00:00</t>
  </si>
  <si>
    <t>2025-01-27 18:00:00</t>
  </si>
  <si>
    <t>2025-01-27 19:00:00</t>
  </si>
  <si>
    <t>2025-01-27 20:00:00</t>
  </si>
  <si>
    <t>2025-01-27 21:00:00</t>
  </si>
  <si>
    <t>2025-01-27 22:00:00</t>
  </si>
  <si>
    <t>2025-01-27 23:00:00</t>
  </si>
  <si>
    <t>2025-01-28 00:00:00</t>
  </si>
  <si>
    <t>2025-01-28 01:00:00</t>
  </si>
  <si>
    <t>2025-01-28 02:00:00</t>
  </si>
  <si>
    <t>2025-01-28 03:00:00</t>
  </si>
  <si>
    <t>2025-01-28 04:00:00</t>
  </si>
  <si>
    <t>2025-01-28 05:00:00</t>
  </si>
  <si>
    <t>2025-01-28 06:00:00</t>
  </si>
  <si>
    <t>2025-01-28 07:00:00</t>
  </si>
  <si>
    <t>2025-01-28 08:00:00</t>
  </si>
  <si>
    <t>2025-01-28 09:00:00</t>
  </si>
  <si>
    <t>2025-01-28 10:00:00</t>
  </si>
  <si>
    <t>2025-01-28 11:00:00</t>
  </si>
  <si>
    <t>2025-01-28 12:00:00</t>
  </si>
  <si>
    <t>2025-01-28 13:00:00</t>
  </si>
  <si>
    <t>2025-01-28 14:00:00</t>
  </si>
  <si>
    <t>2025-01-28 15:00:00</t>
  </si>
  <si>
    <t>2025-01-28 16:00:00</t>
  </si>
  <si>
    <t>2025-01-28 17:00:00</t>
  </si>
  <si>
    <t>2025-01-28 18:00:00</t>
  </si>
  <si>
    <t>2025-01-28 19:00:00</t>
  </si>
  <si>
    <t>2025-01-28 20:00:00</t>
  </si>
  <si>
    <t>2025-01-28 21:00:00</t>
  </si>
  <si>
    <t>2025-01-28 22:00:00</t>
  </si>
  <si>
    <t>2025-01-28 23:00:00</t>
  </si>
  <si>
    <t>2025-01-29 00:00:00</t>
  </si>
  <si>
    <t>2025-01-29 01:00:00</t>
  </si>
  <si>
    <t>2025-01-29 02:00:00</t>
  </si>
  <si>
    <t>2025-01-29 03:00:00</t>
  </si>
  <si>
    <t>2025-01-29 04:00:00</t>
  </si>
  <si>
    <t>2025-01-29 05:00:00</t>
  </si>
  <si>
    <t>2025-01-29 06:00:00</t>
  </si>
  <si>
    <t>2025-01-29 07:00:00</t>
  </si>
  <si>
    <t>2025-01-29 08:00:00</t>
  </si>
  <si>
    <t>2025-01-29 09:00:00</t>
  </si>
  <si>
    <t>2025-01-29 10:00:00</t>
  </si>
  <si>
    <t>2025-01-29 11:00:00</t>
  </si>
  <si>
    <t>2025-01-29 12:00:00</t>
  </si>
  <si>
    <t>2025-01-29 13:00:00</t>
  </si>
  <si>
    <t>2025-01-29 14:00:00</t>
  </si>
  <si>
    <t>2025-01-29 15:00:00</t>
  </si>
  <si>
    <t>2025-01-29 16:00:00</t>
  </si>
  <si>
    <t>2025-01-29 17:00:00</t>
  </si>
  <si>
    <t>2025-01-29 18:00:00</t>
  </si>
  <si>
    <t>2025-01-29 19:00:00</t>
  </si>
  <si>
    <t>2025-01-29 20:00:00</t>
  </si>
  <si>
    <t>2025-01-29 21:00:00</t>
  </si>
  <si>
    <t>2025-01-29 22:00:00</t>
  </si>
  <si>
    <t>2025-01-29 23:00:00</t>
  </si>
  <si>
    <t>2025-01-30 00:00:00</t>
  </si>
  <si>
    <t>2025-01-30 01:00:00</t>
  </si>
  <si>
    <t>2025-01-30 02:00:00</t>
  </si>
  <si>
    <t>2025-01-30 03:00:00</t>
  </si>
  <si>
    <t>2025-01-30 04:00:00</t>
  </si>
  <si>
    <t>2025-01-30 05:00:00</t>
  </si>
  <si>
    <t>2025-01-30 06:00:00</t>
  </si>
  <si>
    <t>2025-01-30 07:00:00</t>
  </si>
  <si>
    <t>2025-01-30 08:00:00</t>
  </si>
  <si>
    <t>2025-01-30 09:00:00</t>
  </si>
  <si>
    <t>2025-01-30 10:00:00</t>
  </si>
  <si>
    <t>2025-01-30 11:00:00</t>
  </si>
  <si>
    <t>2025-01-30 12:00:00</t>
  </si>
  <si>
    <t>2025-01-30 13:00:00</t>
  </si>
  <si>
    <t>2025-01-30 14:00:00</t>
  </si>
  <si>
    <t>2025-01-30 15:00:00</t>
  </si>
  <si>
    <t>2025-01-30 16:00:00</t>
  </si>
  <si>
    <t>2025-01-30 17:00:00</t>
  </si>
  <si>
    <t>2025-01-30 18:00:00</t>
  </si>
  <si>
    <t>2025-01-30 19:00:00</t>
  </si>
  <si>
    <t>2025-01-30 20:00:00</t>
  </si>
  <si>
    <t>2025-01-30 21:00:00</t>
  </si>
  <si>
    <t>2025-01-30 22:00:00</t>
  </si>
  <si>
    <t>2025-01-30 23:00:00</t>
  </si>
  <si>
    <t>2025-01-31 00:00:00</t>
  </si>
  <si>
    <t>2025-01-31 01:00:00</t>
  </si>
  <si>
    <t>2025-01-31 02:00:00</t>
  </si>
  <si>
    <t>2025-01-31 03:00:00</t>
  </si>
  <si>
    <t>2025-01-31 04:00:00</t>
  </si>
  <si>
    <t>2025-01-31 05:00:00</t>
  </si>
  <si>
    <t>2025-01-31 06:00:00</t>
  </si>
  <si>
    <t>2025-01-31 07:00:00</t>
  </si>
  <si>
    <t>2025-01-31 08:00:00</t>
  </si>
  <si>
    <t>2025-01-31 09:00:00</t>
  </si>
  <si>
    <t>2025-01-31 10:00:00</t>
  </si>
  <si>
    <t>2025-01-31 11:00:00</t>
  </si>
  <si>
    <t>2025-01-31 12:00:00</t>
  </si>
  <si>
    <t>2025-01-31 13:00:00</t>
  </si>
  <si>
    <t>2025-01-31 14:00:00</t>
  </si>
  <si>
    <t>2025-01-31 15:00:00</t>
  </si>
  <si>
    <t>2025-01-31 16:00:00</t>
  </si>
  <si>
    <t>2025-01-31 17:00:00</t>
  </si>
  <si>
    <t>2025-01-31 18:00:00</t>
  </si>
  <si>
    <t>2025-01-31 19:00:00</t>
  </si>
  <si>
    <t>2025-01-31 20:00:00</t>
  </si>
  <si>
    <t>2025-01-31 21:00:00</t>
  </si>
  <si>
    <t>2025-01-31 22:00:00</t>
  </si>
  <si>
    <t>2025-01-31 23:00:00</t>
  </si>
  <si>
    <t>2025-02-01 00:00:00</t>
  </si>
  <si>
    <t>2025-02-01 01:00:00</t>
  </si>
  <si>
    <t>2025-02-01 02:00:00</t>
  </si>
  <si>
    <t>2025-02-01 03:00:00</t>
  </si>
  <si>
    <t>2025-02-01 04:00:00</t>
  </si>
  <si>
    <t>2025-02-01 05:00:00</t>
  </si>
  <si>
    <t>2025-02-01 06:00:00</t>
  </si>
  <si>
    <t>2025-02-01 07:00:00</t>
  </si>
  <si>
    <t>2025-02-01 08:00:00</t>
  </si>
  <si>
    <t>2025-02-01 09:00:00</t>
  </si>
  <si>
    <t>2025-02-01 10:00:00</t>
  </si>
  <si>
    <t>2025-02-01 11:00:00</t>
  </si>
  <si>
    <t>2025-02-01 12:00:00</t>
  </si>
  <si>
    <t>2025-02-01 13:00:00</t>
  </si>
  <si>
    <t>2025-02-01 14:00:00</t>
  </si>
  <si>
    <t>2025-02-01 15:00:00</t>
  </si>
  <si>
    <t>2025-02-01 16:00:00</t>
  </si>
  <si>
    <t>2025-02-01 17:00:00</t>
  </si>
  <si>
    <t>2025-02-01 18:00:00</t>
  </si>
  <si>
    <t>2025-02-01 19:00:00</t>
  </si>
  <si>
    <t>2025-02-01 20:00:00</t>
  </si>
  <si>
    <t>2025-02-01 21:00:00</t>
  </si>
  <si>
    <t>2025-02-01 22:00:00</t>
  </si>
  <si>
    <t>2025-02-01 23:00:00</t>
  </si>
  <si>
    <t>2025-02-02 00:00:00</t>
  </si>
  <si>
    <t>2025-02-02 01:00:00</t>
  </si>
  <si>
    <t>2025-02-02 02:00:00</t>
  </si>
  <si>
    <t>2025-02-02 03:00:00</t>
  </si>
  <si>
    <t>2025-02-02 04:00:00</t>
  </si>
  <si>
    <t>2025-02-02 05:00:00</t>
  </si>
  <si>
    <t>2025-02-02 06:00:00</t>
  </si>
  <si>
    <t>2025-02-02 07:00:00</t>
  </si>
  <si>
    <t>2025-02-02 08:00:00</t>
  </si>
  <si>
    <t>2025-02-02 09:00:00</t>
  </si>
  <si>
    <t>2025-02-02 10:00:00</t>
  </si>
  <si>
    <t>2025-02-02 11:00:00</t>
  </si>
  <si>
    <t>2025-02-02 12:00:00</t>
  </si>
  <si>
    <t>2025-02-02 13:00:00</t>
  </si>
  <si>
    <t>2025-02-02 14:00:00</t>
  </si>
  <si>
    <t>2025-02-02 15:00:00</t>
  </si>
  <si>
    <t>2025-02-02 16:00:00</t>
  </si>
  <si>
    <t>2025-02-02 17:00:00</t>
  </si>
  <si>
    <t>2025-02-02 18:00:00</t>
  </si>
  <si>
    <t>2025-02-02 19:00:00</t>
  </si>
  <si>
    <t>2025-02-02 20:00:00</t>
  </si>
  <si>
    <t>2025-02-02 21:00:00</t>
  </si>
  <si>
    <t>2025-02-02 22:00:00</t>
  </si>
  <si>
    <t>2025-02-02 23:00:00</t>
  </si>
  <si>
    <t>2025-02-03 00:00:00</t>
  </si>
  <si>
    <t>2025-02-03 01:00:00</t>
  </si>
  <si>
    <t>2025-02-03 02:00:00</t>
  </si>
  <si>
    <t>2025-02-03 03:00:00</t>
  </si>
  <si>
    <t>2025-02-03 04:00:00</t>
  </si>
  <si>
    <t>2025-02-03 05:00:00</t>
  </si>
  <si>
    <t>2025-02-03 06:00:00</t>
  </si>
  <si>
    <t>2025-02-03 07:00:00</t>
  </si>
  <si>
    <t>2025-02-03 08:00:00</t>
  </si>
  <si>
    <t>2025-02-03 09:00:00</t>
  </si>
  <si>
    <t>2025-02-03 10:00:00</t>
  </si>
  <si>
    <t>2025-02-03 11:00:00</t>
  </si>
  <si>
    <t>2025-02-03 12:00:00</t>
  </si>
  <si>
    <t>2025-02-03 13:00:00</t>
  </si>
  <si>
    <t>2025-02-03 14:00:00</t>
  </si>
  <si>
    <t>2025-02-03 15:00:00</t>
  </si>
  <si>
    <t>2025-02-03 16:00:00</t>
  </si>
  <si>
    <t>2025-02-03 17:00:00</t>
  </si>
  <si>
    <t>2025-02-03 18:00:00</t>
  </si>
  <si>
    <t>2025-02-03 19:00:00</t>
  </si>
  <si>
    <t>2025-02-03 20:00:00</t>
  </si>
  <si>
    <t>2025-02-03 21:00:00</t>
  </si>
  <si>
    <t>2025-02-03 22:00:00</t>
  </si>
  <si>
    <t>2025-02-03 23:00:00</t>
  </si>
  <si>
    <t>2025-02-04 00:00:00</t>
  </si>
  <si>
    <t>2025-02-04 01:00:00</t>
  </si>
  <si>
    <t>2025-02-04 02:00:00</t>
  </si>
  <si>
    <t>2025-02-04 03:00:00</t>
  </si>
  <si>
    <t>2025-02-04 04:00:00</t>
  </si>
  <si>
    <t>2025-02-04 05:00:00</t>
  </si>
  <si>
    <t>2025-02-04 06:00:00</t>
  </si>
  <si>
    <t>2025-02-04 07:00:00</t>
  </si>
  <si>
    <t>2025-02-04 08:00:00</t>
  </si>
  <si>
    <t>2025-02-04 09:00:00</t>
  </si>
  <si>
    <t>2025-02-04 10:00:00</t>
  </si>
  <si>
    <t>2025-02-04 11:00:00</t>
  </si>
  <si>
    <t>2025-02-04 12:00:00</t>
  </si>
  <si>
    <t>2025-02-04 13:00:00</t>
  </si>
  <si>
    <t>2025-02-04 14:00:00</t>
  </si>
  <si>
    <t>2025-02-04 15:00:00</t>
  </si>
  <si>
    <t>2025-02-04 16:00:00</t>
  </si>
  <si>
    <t>2025-02-04 17:00:00</t>
  </si>
  <si>
    <t>2025-02-04 18:00:00</t>
  </si>
  <si>
    <t>2025-02-04 19:00:00</t>
  </si>
  <si>
    <t>2025-02-04 20:00:00</t>
  </si>
  <si>
    <t>2025-02-04 21:00:00</t>
  </si>
  <si>
    <t>2025-02-04 22:00:00</t>
  </si>
  <si>
    <t>2025-02-04 23:00:00</t>
  </si>
  <si>
    <t>2025-02-05 00:00:00</t>
  </si>
  <si>
    <t>2025-02-05 01:00:00</t>
  </si>
  <si>
    <t>2025-02-05 02:00:00</t>
  </si>
  <si>
    <t>2025-02-05 03:00:00</t>
  </si>
  <si>
    <t>2025-02-05 04:00:00</t>
  </si>
  <si>
    <t>2025-02-05 05:00:00</t>
  </si>
  <si>
    <t>2025-02-05 06:00:00</t>
  </si>
  <si>
    <t>2025-02-05 07:00:00</t>
  </si>
  <si>
    <t>2025-02-05 08:00:00</t>
  </si>
  <si>
    <t>2025-02-05 09:00:00</t>
  </si>
  <si>
    <t>2025-02-05 10:00:00</t>
  </si>
  <si>
    <t>2025-02-05 11:00:00</t>
  </si>
  <si>
    <t>2025-02-05 12:00:00</t>
  </si>
  <si>
    <t>2025-02-05 13:00:00</t>
  </si>
  <si>
    <t>2025-02-05 14:00:00</t>
  </si>
  <si>
    <t>2025-02-05 15:00:00</t>
  </si>
  <si>
    <t>2025-02-05 16:00:00</t>
  </si>
  <si>
    <t>2025-02-05 17:00:00</t>
  </si>
  <si>
    <t>2025-02-05 18:00:00</t>
  </si>
  <si>
    <t>2025-02-05 19:00:00</t>
  </si>
  <si>
    <t>2025-02-05 20:00:00</t>
  </si>
  <si>
    <t>2025-02-05 21:00:00</t>
  </si>
  <si>
    <t>2025-02-05 22:00:00</t>
  </si>
  <si>
    <t>2025-02-05 23:00:00</t>
  </si>
  <si>
    <t>2025-02-06 00:00:00</t>
  </si>
  <si>
    <t>2025-02-06 01:00:00</t>
  </si>
  <si>
    <t>2025-02-06 02:00:00</t>
  </si>
  <si>
    <t>2025-02-06 03:00:00</t>
  </si>
  <si>
    <t>2025-02-06 04:00:00</t>
  </si>
  <si>
    <t>2025-02-06 05:00:00</t>
  </si>
  <si>
    <t>2025-02-06 06:00:00</t>
  </si>
  <si>
    <t>2025-02-06 07:00:00</t>
  </si>
  <si>
    <t>2025-02-06 08:00:00</t>
  </si>
  <si>
    <t>2025-02-06 09:00:00</t>
  </si>
  <si>
    <t>2025-02-06 10:00:00</t>
  </si>
  <si>
    <t>2025-02-06 11:00:00</t>
  </si>
  <si>
    <t>2025-02-06 12:00:00</t>
  </si>
  <si>
    <t>2025-02-06 13:00:00</t>
  </si>
  <si>
    <t>2025-02-06 14:00:00</t>
  </si>
  <si>
    <t>2025-02-06 15:00:00</t>
  </si>
  <si>
    <t>2025-02-06 16:00:00</t>
  </si>
  <si>
    <t>2025-02-06 17:00:00</t>
  </si>
  <si>
    <t>2025-02-06 18:00:00</t>
  </si>
  <si>
    <t>2025-02-06 19:00:00</t>
  </si>
  <si>
    <t>2025-02-06 20:00:00</t>
  </si>
  <si>
    <t>2025-02-06 21:00:00</t>
  </si>
  <si>
    <t>2025-02-06 22:00:00</t>
  </si>
  <si>
    <t>2025-02-06 23:00:00</t>
  </si>
  <si>
    <t>2025-02-07 00:00:00</t>
  </si>
  <si>
    <t>2025-02-07 01:00:00</t>
  </si>
  <si>
    <t>2025-02-07 02:00:00</t>
  </si>
  <si>
    <t>2025-02-07 03:00:00</t>
  </si>
  <si>
    <t>2025-02-07 04:00:00</t>
  </si>
  <si>
    <t>2025-02-07 05:00:00</t>
  </si>
  <si>
    <t>2025-02-07 06:00:00</t>
  </si>
  <si>
    <t>2025-02-07 07:00:00</t>
  </si>
  <si>
    <t>2025-02-07 08:00:00</t>
  </si>
  <si>
    <t>2025-02-07 09:00:00</t>
  </si>
  <si>
    <t>2025-02-07 10:00:00</t>
  </si>
  <si>
    <t>2025-02-07 11:00:00</t>
  </si>
  <si>
    <t>2025-02-07 12:00:00</t>
  </si>
  <si>
    <t>2025-02-07 13:00:00</t>
  </si>
  <si>
    <t>2025-02-07 14:00:00</t>
  </si>
  <si>
    <t>2025-02-07 15:00:00</t>
  </si>
  <si>
    <t>2025-02-07 16:00:00</t>
  </si>
  <si>
    <t>2025-02-07 17:00:00</t>
  </si>
  <si>
    <t>2025-02-07 18:00:00</t>
  </si>
  <si>
    <t>2025-02-07 19:00:00</t>
  </si>
  <si>
    <t>2025-02-07 20:00:00</t>
  </si>
  <si>
    <t>2025-02-07 21:00:00</t>
  </si>
  <si>
    <t>2025-02-07 22:00:00</t>
  </si>
  <si>
    <t>2025-02-07 23:00:00</t>
  </si>
  <si>
    <t>2025-02-08 00:00:00</t>
  </si>
  <si>
    <t>2025-02-08 01:00:00</t>
  </si>
  <si>
    <t>2025-02-08 02:00:00</t>
  </si>
  <si>
    <t>2025-02-08 03:00:00</t>
  </si>
  <si>
    <t>2025-02-08 04:00:00</t>
  </si>
  <si>
    <t>2025-02-08 05:00:00</t>
  </si>
  <si>
    <t>2025-02-08 06:00:00</t>
  </si>
  <si>
    <t>2025-02-08 07:00:00</t>
  </si>
  <si>
    <t>2025-02-08 08:00:00</t>
  </si>
  <si>
    <t>2025-02-08 09:00:00</t>
  </si>
  <si>
    <t>2025-02-08 10:00:00</t>
  </si>
  <si>
    <t>2025-02-08 11:00:00</t>
  </si>
  <si>
    <t>2025-02-08 12:00:00</t>
  </si>
  <si>
    <t>2025-02-08 13:00:00</t>
  </si>
  <si>
    <t>2025-02-08 14:00:00</t>
  </si>
  <si>
    <t>2025-02-08 15:00:00</t>
  </si>
  <si>
    <t>2025-02-08 16:00:00</t>
  </si>
  <si>
    <t>2025-02-08 17:00:00</t>
  </si>
  <si>
    <t>2025-02-08 18:00:00</t>
  </si>
  <si>
    <t>2025-02-08 19:00:00</t>
  </si>
  <si>
    <t>2025-02-08 20:00:00</t>
  </si>
  <si>
    <t>2025-02-08 21:00:00</t>
  </si>
  <si>
    <t>2025-02-08 22:00:00</t>
  </si>
  <si>
    <t>2025-02-08 23:00:00</t>
  </si>
  <si>
    <t>2025-02-09 00:00:00</t>
  </si>
  <si>
    <t>2025-02-09 01:00:00</t>
  </si>
  <si>
    <t>2025-02-09 02:00:00</t>
  </si>
  <si>
    <t>2025-02-09 03:00:00</t>
  </si>
  <si>
    <t>2025-02-09 04:00:00</t>
  </si>
  <si>
    <t>2025-02-09 05:00:00</t>
  </si>
  <si>
    <t>2025-02-09 06:00:00</t>
  </si>
  <si>
    <t>2025-02-09 07:00:00</t>
  </si>
  <si>
    <t>2025-02-09 08:00:00</t>
  </si>
  <si>
    <t>2025-02-09 09:00:00</t>
  </si>
  <si>
    <t>2025-02-09 10:00:00</t>
  </si>
  <si>
    <t>2025-02-09 11:00:00</t>
  </si>
  <si>
    <t>2025-02-09 12:00:00</t>
  </si>
  <si>
    <t>2025-02-09 13:00:00</t>
  </si>
  <si>
    <t>2025-02-09 14:00:00</t>
  </si>
  <si>
    <t>2025-02-09 15:00:00</t>
  </si>
  <si>
    <t>2025-02-09 16:00:00</t>
  </si>
  <si>
    <t>2025-02-09 17:00:00</t>
  </si>
  <si>
    <t>2025-02-09 18:00:00</t>
  </si>
  <si>
    <t>2025-02-09 19:00:00</t>
  </si>
  <si>
    <t>2025-02-09 20:00:00</t>
  </si>
  <si>
    <t>2025-02-09 21:00:00</t>
  </si>
  <si>
    <t>2025-02-09 22:00:00</t>
  </si>
  <si>
    <t>2025-02-09 23:00:00</t>
  </si>
  <si>
    <t>2025-02-10 00:00:00</t>
  </si>
  <si>
    <t>2025-02-10 01:00:00</t>
  </si>
  <si>
    <t>2025-02-10 02:00:00</t>
  </si>
  <si>
    <t>2025-02-10 03:00:00</t>
  </si>
  <si>
    <t>2025-02-10 04:00:00</t>
  </si>
  <si>
    <t>2025-02-10 05:00:00</t>
  </si>
  <si>
    <t>2025-02-10 06:00:00</t>
  </si>
  <si>
    <t>2025-02-10 07:00:00</t>
  </si>
  <si>
    <t>2025-02-10 08:00:00</t>
  </si>
  <si>
    <t>2025-02-10 09:00:00</t>
  </si>
  <si>
    <t>2025-02-10 10:00:00</t>
  </si>
  <si>
    <t>2025-02-10 11:00:00</t>
  </si>
  <si>
    <t>2025-02-10 12:00:00</t>
  </si>
  <si>
    <t>2025-02-10 13:00:00</t>
  </si>
  <si>
    <t>2025-02-10 14:00:00</t>
  </si>
  <si>
    <t>2025-02-10 15:00:00</t>
  </si>
  <si>
    <t>2025-02-10 16:00:00</t>
  </si>
  <si>
    <t>2025-02-10 17:00:00</t>
  </si>
  <si>
    <t>2025-02-10 18:00:00</t>
  </si>
  <si>
    <t>2025-02-10 19:00:00</t>
  </si>
  <si>
    <t>2025-02-10 20:00:00</t>
  </si>
  <si>
    <t>2025-02-10 21:00:00</t>
  </si>
  <si>
    <t>2025-02-10 22:00:00</t>
  </si>
  <si>
    <t>2025-02-10 23:00:00</t>
  </si>
  <si>
    <t>2025-02-11 00:00:00</t>
  </si>
  <si>
    <t>2025-02-11 01:00:00</t>
  </si>
  <si>
    <t>2025-02-11 02:00:00</t>
  </si>
  <si>
    <t>2025-02-11 03:00:00</t>
  </si>
  <si>
    <t>2025-02-11 04:00:00</t>
  </si>
  <si>
    <t>2025-02-11 05:00:00</t>
  </si>
  <si>
    <t>2025-02-11 06:00:00</t>
  </si>
  <si>
    <t>2025-02-11 07:00:00</t>
  </si>
  <si>
    <t>2025-02-11 08:00:00</t>
  </si>
  <si>
    <t>2025-02-11 09:00:00</t>
  </si>
  <si>
    <t>2025-02-11 10:00:00</t>
  </si>
  <si>
    <t>2025-02-11 11:00:00</t>
  </si>
  <si>
    <t>2025-02-11 12:00:00</t>
  </si>
  <si>
    <t>2025-02-11 13:00:00</t>
  </si>
  <si>
    <t>2025-02-11 14:00:00</t>
  </si>
  <si>
    <t>2025-02-11 15:00:00</t>
  </si>
  <si>
    <t>Fraud_Risk_Level</t>
  </si>
  <si>
    <t>Daily_Transaction_count</t>
  </si>
  <si>
    <t>Fraud_Score</t>
  </si>
  <si>
    <t>Amount_level</t>
  </si>
  <si>
    <t>Row Labels</t>
  </si>
  <si>
    <t>Grand Total</t>
  </si>
  <si>
    <t>Sum of Is_Fraud</t>
  </si>
  <si>
    <t xml:space="preserve"> Total Transactions</t>
  </si>
  <si>
    <t>Fraud Transactions</t>
  </si>
  <si>
    <t>Fraud Rate %</t>
  </si>
  <si>
    <t>Date2</t>
  </si>
  <si>
    <t>Count of Transaction_ID</t>
  </si>
  <si>
    <t>Jan</t>
  </si>
  <si>
    <t>Feb</t>
  </si>
  <si>
    <t>is</t>
  </si>
  <si>
    <t>Column Labels</t>
  </si>
  <si>
    <t xml:space="preserve">    </t>
  </si>
  <si>
    <t>Fraud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</si>
</sst>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14" fontId="2" fillId="0" borderId="1" xfId="0" applyNumberFormat="1" applyFont="1" applyBorder="1" applyAlignment="1">
      <alignment horizontal="center" vertical="top"/>
    </xf>
    <xf numFmtId="14" fontId="0" fillId="0" borderId="0" xfId="0" applyNumberFormat="1"/>
  </cellXfs>
  <cellStyles count="1">
    <cellStyle name="Normal" xfId="0" builtinId="0"/>
  </cellStyles>
  <dxfs count="17">
    <dxf>
      <font>
        <color rgb="FF9C0006"/>
      </font>
      <fill>
        <patternFill>
          <bgColor rgb="FFFFC7CE"/>
        </patternFill>
      </fill>
    </dxf>
    <dxf>
      <numFmt numFmtId="19" formatCode="m/d/yyyy"/>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m/d/yyyy"/>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F56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[Credit_Card_Fraud_Cleaned_Dataset.xlsx]Sheet6!PivotTable2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vs Transactions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50"/>
          </a:soli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Sheet6!$B$2</c:f>
              <c:strCache>
                <c:ptCount val="1"/>
                <c:pt idx="0">
                  <c:v>Total</c:v>
                </c:pt>
              </c:strCache>
            </c:strRef>
          </c:tx>
          <c:spPr>
            <a:ln>
              <a:solidFill>
                <a:srgbClr val="FF0000"/>
              </a:solidFill>
            </a:ln>
            <a:effectLst>
              <a:glow rad="63500">
                <a:schemeClr val="accent2">
                  <a:satMod val="175000"/>
                  <a:alpha val="40000"/>
                </a:schemeClr>
              </a:glow>
            </a:effectLst>
          </c:spPr>
          <c:dPt>
            <c:idx val="0"/>
            <c:bubble3D val="0"/>
            <c:spPr>
              <a:solidFill>
                <a:srgbClr val="00B050"/>
              </a:soli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583-4118-8674-3D7EABF3048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rgbClr val="FF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583-4118-8674-3D7EABF304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Sheet6!$A$3:$A$5</c:f>
              <c:strCache>
                <c:ptCount val="2"/>
                <c:pt idx="0">
                  <c:v>0</c:v>
                </c:pt>
                <c:pt idx="1">
                  <c:v>1</c:v>
                </c:pt>
              </c:strCache>
            </c:strRef>
          </c:cat>
          <c:val>
            <c:numRef>
              <c:f>Sheet6!$B$3:$B$5</c:f>
              <c:numCache>
                <c:formatCode>General</c:formatCode>
                <c:ptCount val="2"/>
                <c:pt idx="0">
                  <c:v>836</c:v>
                </c:pt>
                <c:pt idx="1">
                  <c:v>164</c:v>
                </c:pt>
              </c:numCache>
            </c:numRef>
          </c:val>
          <c:extLst>
            <c:ext xmlns:c16="http://schemas.microsoft.com/office/drawing/2014/chart" uri="{C3380CC4-5D6E-409C-BE32-E72D297353CC}">
              <c16:uniqueId val="{00000004-B583-4118-8674-3D7EABF3048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[Credit_Card_Fraud_Cleaned_Dataset.xlsx]Sheet6!PivotTable3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by Merchant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72025371828524"/>
          <c:y val="0.48773659903089039"/>
          <c:w val="0.55076115485564303"/>
          <c:h val="0.35843112759943468"/>
        </c:manualLayout>
      </c:layout>
      <c:barChart>
        <c:barDir val="bar"/>
        <c:grouping val="clustered"/>
        <c:varyColors val="0"/>
        <c:ser>
          <c:idx val="0"/>
          <c:order val="0"/>
          <c:tx>
            <c:strRef>
              <c:f>Sheet6!$B$7</c:f>
              <c:strCache>
                <c:ptCount val="1"/>
                <c:pt idx="0">
                  <c:v>Total</c:v>
                </c:pt>
              </c:strCache>
            </c:strRef>
          </c:tx>
          <c:spPr>
            <a:solidFill>
              <a:srgbClr val="00B050"/>
            </a:solidFill>
            <a:ln>
              <a:no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cat>
            <c:strRef>
              <c:f>Sheet6!$A$8:$A$13</c:f>
              <c:strCache>
                <c:ptCount val="5"/>
                <c:pt idx="0">
                  <c:v>Bangalore</c:v>
                </c:pt>
                <c:pt idx="1">
                  <c:v>Chennai</c:v>
                </c:pt>
                <c:pt idx="2">
                  <c:v>Delhi</c:v>
                </c:pt>
                <c:pt idx="3">
                  <c:v>Hyderabad</c:v>
                </c:pt>
                <c:pt idx="4">
                  <c:v>Mumbai</c:v>
                </c:pt>
              </c:strCache>
            </c:strRef>
          </c:cat>
          <c:val>
            <c:numRef>
              <c:f>Sheet6!$B$8:$B$13</c:f>
              <c:numCache>
                <c:formatCode>General</c:formatCode>
                <c:ptCount val="5"/>
                <c:pt idx="0">
                  <c:v>31</c:v>
                </c:pt>
                <c:pt idx="1">
                  <c:v>33</c:v>
                </c:pt>
                <c:pt idx="2">
                  <c:v>33</c:v>
                </c:pt>
                <c:pt idx="3">
                  <c:v>33</c:v>
                </c:pt>
                <c:pt idx="4">
                  <c:v>34</c:v>
                </c:pt>
              </c:numCache>
            </c:numRef>
          </c:val>
          <c:extLst>
            <c:ext xmlns:c16="http://schemas.microsoft.com/office/drawing/2014/chart" uri="{C3380CC4-5D6E-409C-BE32-E72D297353CC}">
              <c16:uniqueId val="{00000000-0DA6-4A03-930C-4882B667AF16}"/>
            </c:ext>
          </c:extLst>
        </c:ser>
        <c:dLbls>
          <c:showLegendKey val="0"/>
          <c:showVal val="0"/>
          <c:showCatName val="0"/>
          <c:showSerName val="0"/>
          <c:showPercent val="0"/>
          <c:showBubbleSize val="0"/>
        </c:dLbls>
        <c:gapWidth val="115"/>
        <c:overlap val="-20"/>
        <c:axId val="847709023"/>
        <c:axId val="847706623"/>
      </c:barChart>
      <c:catAx>
        <c:axId val="8477090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06623"/>
        <c:crosses val="autoZero"/>
        <c:auto val="1"/>
        <c:lblAlgn val="ctr"/>
        <c:lblOffset val="100"/>
        <c:noMultiLvlLbl val="0"/>
      </c:catAx>
      <c:valAx>
        <c:axId val="84770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0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[Credit_Card_Fraud_Cleaned_Dataset.xlsx]Sheet6!PivotTable4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Trend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glow rad="63500">
              <a:schemeClr val="accent2">
                <a:satMod val="175000"/>
                <a:alpha val="40000"/>
              </a:schemeClr>
            </a:glow>
          </a:effectLst>
        </c:spPr>
        <c:marker>
          <c:symbol val="circle"/>
          <c:size val="6"/>
          <c:spPr>
            <a:solidFill>
              <a:srgbClr val="00B050"/>
            </a:solidFill>
            <a:ln w="9525">
              <a:solidFill>
                <a:schemeClr val="accent1"/>
              </a:solidFill>
              <a:round/>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Sheet6!$B$15</c:f>
              <c:strCache>
                <c:ptCount val="1"/>
                <c:pt idx="0">
                  <c:v>Total</c:v>
                </c:pt>
              </c:strCache>
            </c:strRef>
          </c:tx>
          <c:spPr>
            <a:ln w="34925" cap="rnd">
              <a:solidFill>
                <a:schemeClr val="accent1"/>
              </a:solidFill>
              <a:round/>
            </a:ln>
            <a:effectLst>
              <a:glow rad="63500">
                <a:schemeClr val="accent2">
                  <a:satMod val="175000"/>
                  <a:alpha val="40000"/>
                </a:schemeClr>
              </a:glow>
            </a:effectLst>
          </c:spPr>
          <c:marker>
            <c:symbol val="circle"/>
            <c:size val="6"/>
            <c:spPr>
              <a:solidFill>
                <a:srgbClr val="00B050"/>
              </a:solidFill>
              <a:ln w="9525">
                <a:solidFill>
                  <a:schemeClr val="accent1"/>
                </a:solidFill>
                <a:round/>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cat>
            <c:strRef>
              <c:f>Sheet6!$A$16:$A$18</c:f>
              <c:strCache>
                <c:ptCount val="2"/>
                <c:pt idx="0">
                  <c:v>Jan</c:v>
                </c:pt>
                <c:pt idx="1">
                  <c:v>Feb</c:v>
                </c:pt>
              </c:strCache>
            </c:strRef>
          </c:cat>
          <c:val>
            <c:numRef>
              <c:f>Sheet6!$B$16:$B$18</c:f>
              <c:numCache>
                <c:formatCode>General</c:formatCode>
                <c:ptCount val="2"/>
                <c:pt idx="0">
                  <c:v>122</c:v>
                </c:pt>
                <c:pt idx="1">
                  <c:v>42</c:v>
                </c:pt>
              </c:numCache>
            </c:numRef>
          </c:val>
          <c:smooth val="0"/>
          <c:extLst>
            <c:ext xmlns:c16="http://schemas.microsoft.com/office/drawing/2014/chart" uri="{C3380CC4-5D6E-409C-BE32-E72D297353CC}">
              <c16:uniqueId val="{00000000-6371-47CE-A38C-370FB749310E}"/>
            </c:ext>
          </c:extLst>
        </c:ser>
        <c:dLbls>
          <c:showLegendKey val="0"/>
          <c:showVal val="0"/>
          <c:showCatName val="0"/>
          <c:showSerName val="0"/>
          <c:showPercent val="0"/>
          <c:showBubbleSize val="0"/>
        </c:dLbls>
        <c:marker val="1"/>
        <c:smooth val="0"/>
        <c:axId val="807852431"/>
        <c:axId val="807851951"/>
      </c:lineChart>
      <c:catAx>
        <c:axId val="8078524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851951"/>
        <c:crosses val="autoZero"/>
        <c:auto val="1"/>
        <c:lblAlgn val="ctr"/>
        <c:lblOffset val="100"/>
        <c:noMultiLvlLbl val="0"/>
      </c:catAx>
      <c:valAx>
        <c:axId val="807851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8524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[Credit_Card_Fraud_Cleaned_Dataset.xlsx]Sheet6!PivotTable5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vs Transactions by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ysClr val="windowText" lastClr="00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Sheet6!$B$20:$B$21</c:f>
              <c:strCache>
                <c:ptCount val="1"/>
                <c:pt idx="0">
                  <c:v>0</c:v>
                </c:pt>
              </c:strCache>
            </c:strRef>
          </c:tx>
          <c:spPr>
            <a:solidFill>
              <a:srgbClr val="00B050"/>
            </a:solidFill>
            <a:ln>
              <a:solidFill>
                <a:sysClr val="windowText" lastClr="00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cat>
            <c:strRef>
              <c:f>Sheet6!$A$22:$A$25</c:f>
              <c:strCache>
                <c:ptCount val="3"/>
                <c:pt idx="0">
                  <c:v>ATM</c:v>
                </c:pt>
                <c:pt idx="1">
                  <c:v>Online</c:v>
                </c:pt>
                <c:pt idx="2">
                  <c:v>POS</c:v>
                </c:pt>
              </c:strCache>
            </c:strRef>
          </c:cat>
          <c:val>
            <c:numRef>
              <c:f>Sheet6!$B$22:$B$25</c:f>
              <c:numCache>
                <c:formatCode>General</c:formatCode>
                <c:ptCount val="3"/>
                <c:pt idx="0">
                  <c:v>308</c:v>
                </c:pt>
                <c:pt idx="1">
                  <c:v>178</c:v>
                </c:pt>
                <c:pt idx="2">
                  <c:v>350</c:v>
                </c:pt>
              </c:numCache>
            </c:numRef>
          </c:val>
          <c:extLst>
            <c:ext xmlns:c16="http://schemas.microsoft.com/office/drawing/2014/chart" uri="{C3380CC4-5D6E-409C-BE32-E72D297353CC}">
              <c16:uniqueId val="{00000000-4ECB-491C-9ADE-EA2BBD2892DB}"/>
            </c:ext>
          </c:extLst>
        </c:ser>
        <c:ser>
          <c:idx val="1"/>
          <c:order val="1"/>
          <c:tx>
            <c:strRef>
              <c:f>Sheet6!$C$20:$C$21</c:f>
              <c:strCache>
                <c:ptCount val="1"/>
                <c:pt idx="0">
                  <c:v>1</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Sheet6!$A$22:$A$25</c:f>
              <c:strCache>
                <c:ptCount val="3"/>
                <c:pt idx="0">
                  <c:v>ATM</c:v>
                </c:pt>
                <c:pt idx="1">
                  <c:v>Online</c:v>
                </c:pt>
                <c:pt idx="2">
                  <c:v>POS</c:v>
                </c:pt>
              </c:strCache>
            </c:strRef>
          </c:cat>
          <c:val>
            <c:numRef>
              <c:f>Sheet6!$C$22:$C$25</c:f>
              <c:numCache>
                <c:formatCode>General</c:formatCode>
                <c:ptCount val="3"/>
                <c:pt idx="1">
                  <c:v>164</c:v>
                </c:pt>
              </c:numCache>
            </c:numRef>
          </c:val>
          <c:extLst>
            <c:ext xmlns:c16="http://schemas.microsoft.com/office/drawing/2014/chart" uri="{C3380CC4-5D6E-409C-BE32-E72D297353CC}">
              <c16:uniqueId val="{00000001-4ECB-491C-9ADE-EA2BBD2892DB}"/>
            </c:ext>
          </c:extLst>
        </c:ser>
        <c:dLbls>
          <c:showLegendKey val="0"/>
          <c:showVal val="0"/>
          <c:showCatName val="0"/>
          <c:showSerName val="0"/>
          <c:showPercent val="0"/>
          <c:showBubbleSize val="0"/>
        </c:dLbls>
        <c:gapWidth val="150"/>
        <c:overlap val="100"/>
        <c:axId val="832274927"/>
        <c:axId val="832273007"/>
      </c:barChart>
      <c:catAx>
        <c:axId val="832274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73007"/>
        <c:crosses val="autoZero"/>
        <c:auto val="1"/>
        <c:lblAlgn val="ctr"/>
        <c:lblOffset val="100"/>
        <c:noMultiLvlLbl val="0"/>
      </c:catAx>
      <c:valAx>
        <c:axId val="832273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7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[Credit_Card_Fraud_Cleaned_Dataset.xlsx]Sheet6!PivotTable6</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FRUAD Distribution by Card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00B05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C0000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pivotFmt>
      <c:pivotFmt>
        <c:idx val="6"/>
        <c:spPr>
          <a:solidFill>
            <a:srgbClr val="00B05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pivotFmt>
    </c:pivotFmts>
    <c:plotArea>
      <c:layout/>
      <c:doughnutChart>
        <c:varyColors val="1"/>
        <c:ser>
          <c:idx val="0"/>
          <c:order val="0"/>
          <c:tx>
            <c:strRef>
              <c:f>Sheet6!$F$2</c:f>
              <c:strCache>
                <c:ptCount val="1"/>
                <c:pt idx="0">
                  <c:v>Total</c:v>
                </c:pt>
              </c:strCache>
            </c:strRef>
          </c:tx>
          <c:spPr>
            <a:solidFill>
              <a:srgbClr val="00B05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dPt>
            <c:idx val="0"/>
            <c:bubble3D val="0"/>
            <c:spPr>
              <a:solidFill>
                <a:srgbClr val="C0000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extLst>
              <c:ext xmlns:c16="http://schemas.microsoft.com/office/drawing/2014/chart" uri="{C3380CC4-5D6E-409C-BE32-E72D297353CC}">
                <c16:uniqueId val="{00000001-F11A-41B9-98DC-71CDE45F2218}"/>
              </c:ext>
            </c:extLst>
          </c:dPt>
          <c:dPt>
            <c:idx val="1"/>
            <c:bubble3D val="0"/>
            <c:spPr>
              <a:solidFill>
                <a:srgbClr val="00B050"/>
              </a:solidFill>
              <a:ln>
                <a:solidFill>
                  <a:sysClr val="windowText" lastClr="000000"/>
                </a:solidFill>
              </a:ln>
              <a:effectLst>
                <a:glow rad="63500">
                  <a:schemeClr val="accent2">
                    <a:satMod val="175000"/>
                    <a:alpha val="40000"/>
                  </a:schemeClr>
                </a:glow>
                <a:outerShdw blurRad="50800" dist="38100" dir="16200000" rotWithShape="0">
                  <a:prstClr val="black">
                    <a:alpha val="40000"/>
                  </a:prstClr>
                </a:outerShdw>
              </a:effectLst>
            </c:spPr>
            <c:extLst>
              <c:ext xmlns:c16="http://schemas.microsoft.com/office/drawing/2014/chart" uri="{C3380CC4-5D6E-409C-BE32-E72D297353CC}">
                <c16:uniqueId val="{00000003-F11A-41B9-98DC-71CDE45F221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Sheet6!$E$3:$E$5</c:f>
              <c:strCache>
                <c:ptCount val="2"/>
                <c:pt idx="0">
                  <c:v>Credit</c:v>
                </c:pt>
                <c:pt idx="1">
                  <c:v>Debit</c:v>
                </c:pt>
              </c:strCache>
            </c:strRef>
          </c:cat>
          <c:val>
            <c:numRef>
              <c:f>Sheet6!$F$3:$F$5</c:f>
              <c:numCache>
                <c:formatCode>General</c:formatCode>
                <c:ptCount val="2"/>
                <c:pt idx="0">
                  <c:v>82</c:v>
                </c:pt>
                <c:pt idx="1">
                  <c:v>82</c:v>
                </c:pt>
              </c:numCache>
            </c:numRef>
          </c:val>
          <c:extLst>
            <c:ext xmlns:c16="http://schemas.microsoft.com/office/drawing/2014/chart" uri="{C3380CC4-5D6E-409C-BE32-E72D297353CC}">
              <c16:uniqueId val="{00000004-F11A-41B9-98DC-71CDE45F2218}"/>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[Credit_Card_Fraud_Cleaned_Dataset.xlsx]Sheet6!PivotTable7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Fraud by Merchant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DF5611"/>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Sheet6!$F$7</c:f>
              <c:strCache>
                <c:ptCount val="1"/>
                <c:pt idx="0">
                  <c:v>Total</c:v>
                </c:pt>
              </c:strCache>
            </c:strRef>
          </c:tx>
          <c:spPr>
            <a:solidFill>
              <a:srgbClr val="00B050"/>
            </a:solidFill>
            <a:ln>
              <a:solidFill>
                <a:srgbClr val="DF5611"/>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cat>
            <c:strRef>
              <c:f>Sheet6!$E$8:$E$13</c:f>
              <c:strCache>
                <c:ptCount val="5"/>
                <c:pt idx="0">
                  <c:v>Electronics</c:v>
                </c:pt>
                <c:pt idx="1">
                  <c:v>Fashion</c:v>
                </c:pt>
                <c:pt idx="2">
                  <c:v>Food</c:v>
                </c:pt>
                <c:pt idx="3">
                  <c:v>Grocery</c:v>
                </c:pt>
                <c:pt idx="4">
                  <c:v>Travel</c:v>
                </c:pt>
              </c:strCache>
            </c:strRef>
          </c:cat>
          <c:val>
            <c:numRef>
              <c:f>Sheet6!$F$8:$F$13</c:f>
              <c:numCache>
                <c:formatCode>General</c:formatCode>
                <c:ptCount val="5"/>
                <c:pt idx="0">
                  <c:v>32</c:v>
                </c:pt>
                <c:pt idx="1">
                  <c:v>30</c:v>
                </c:pt>
                <c:pt idx="2">
                  <c:v>29</c:v>
                </c:pt>
                <c:pt idx="3">
                  <c:v>42</c:v>
                </c:pt>
                <c:pt idx="4">
                  <c:v>31</c:v>
                </c:pt>
              </c:numCache>
            </c:numRef>
          </c:val>
          <c:extLst>
            <c:ext xmlns:c16="http://schemas.microsoft.com/office/drawing/2014/chart" uri="{C3380CC4-5D6E-409C-BE32-E72D297353CC}">
              <c16:uniqueId val="{00000000-8D60-440A-838A-84925149A395}"/>
            </c:ext>
          </c:extLst>
        </c:ser>
        <c:dLbls>
          <c:showLegendKey val="0"/>
          <c:showVal val="0"/>
          <c:showCatName val="0"/>
          <c:showSerName val="0"/>
          <c:showPercent val="0"/>
          <c:showBubbleSize val="0"/>
        </c:dLbls>
        <c:gapWidth val="100"/>
        <c:overlap val="-24"/>
        <c:axId val="874329231"/>
        <c:axId val="874330191"/>
      </c:barChart>
      <c:catAx>
        <c:axId val="874329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30191"/>
        <c:crosses val="autoZero"/>
        <c:auto val="1"/>
        <c:lblAlgn val="ctr"/>
        <c:lblOffset val="100"/>
        <c:noMultiLvlLbl val="0"/>
      </c:catAx>
      <c:valAx>
        <c:axId val="87433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2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[Credit_Card_Fraud_Cleaned_Dataset.xlsx]Sheet6!PivotTable9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vs Fraud Transactions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ysClr val="windowText" lastClr="00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13970271482569E-2"/>
          <c:y val="0.44952660027085656"/>
          <c:w val="0.8262316195247168"/>
          <c:h val="0.32994223324824123"/>
        </c:manualLayout>
      </c:layout>
      <c:barChart>
        <c:barDir val="col"/>
        <c:grouping val="clustered"/>
        <c:varyColors val="0"/>
        <c:ser>
          <c:idx val="0"/>
          <c:order val="0"/>
          <c:tx>
            <c:strRef>
              <c:f>Sheet6!$F$25</c:f>
              <c:strCache>
                <c:ptCount val="1"/>
                <c:pt idx="0">
                  <c:v>Count of Transaction_ID</c:v>
                </c:pt>
              </c:strCache>
            </c:strRef>
          </c:tx>
          <c:spPr>
            <a:solidFill>
              <a:srgbClr val="00B050"/>
            </a:solidFill>
            <a:ln>
              <a:solidFill>
                <a:sysClr val="windowText" lastClr="000000"/>
              </a:solid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cat>
            <c:strRef>
              <c:f>Sheet6!$E$26:$E$28</c:f>
              <c:strCache>
                <c:ptCount val="2"/>
                <c:pt idx="0">
                  <c:v>Jan</c:v>
                </c:pt>
                <c:pt idx="1">
                  <c:v>Feb</c:v>
                </c:pt>
              </c:strCache>
            </c:strRef>
          </c:cat>
          <c:val>
            <c:numRef>
              <c:f>Sheet6!$F$26:$F$28</c:f>
              <c:numCache>
                <c:formatCode>General</c:formatCode>
                <c:ptCount val="2"/>
                <c:pt idx="0">
                  <c:v>744</c:v>
                </c:pt>
                <c:pt idx="1">
                  <c:v>256</c:v>
                </c:pt>
              </c:numCache>
            </c:numRef>
          </c:val>
          <c:extLst>
            <c:ext xmlns:c16="http://schemas.microsoft.com/office/drawing/2014/chart" uri="{C3380CC4-5D6E-409C-BE32-E72D297353CC}">
              <c16:uniqueId val="{00000000-3092-453E-ABCC-8A9596F1F5E0}"/>
            </c:ext>
          </c:extLst>
        </c:ser>
        <c:dLbls>
          <c:showLegendKey val="0"/>
          <c:showVal val="0"/>
          <c:showCatName val="0"/>
          <c:showSerName val="0"/>
          <c:showPercent val="0"/>
          <c:showBubbleSize val="0"/>
        </c:dLbls>
        <c:gapWidth val="219"/>
        <c:overlap val="-27"/>
        <c:axId val="785527423"/>
        <c:axId val="785544223"/>
      </c:barChart>
      <c:lineChart>
        <c:grouping val="standard"/>
        <c:varyColors val="0"/>
        <c:ser>
          <c:idx val="1"/>
          <c:order val="1"/>
          <c:tx>
            <c:strRef>
              <c:f>Sheet6!$G$25</c:f>
              <c:strCache>
                <c:ptCount val="1"/>
                <c:pt idx="0">
                  <c:v>Sum of Is_Fraud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Sheet6!$E$26:$E$28</c:f>
              <c:strCache>
                <c:ptCount val="2"/>
                <c:pt idx="0">
                  <c:v>Jan</c:v>
                </c:pt>
                <c:pt idx="1">
                  <c:v>Feb</c:v>
                </c:pt>
              </c:strCache>
            </c:strRef>
          </c:cat>
          <c:val>
            <c:numRef>
              <c:f>Sheet6!$G$26:$G$28</c:f>
              <c:numCache>
                <c:formatCode>General</c:formatCode>
                <c:ptCount val="2"/>
                <c:pt idx="0">
                  <c:v>122</c:v>
                </c:pt>
                <c:pt idx="1">
                  <c:v>42</c:v>
                </c:pt>
              </c:numCache>
            </c:numRef>
          </c:val>
          <c:smooth val="0"/>
          <c:extLst>
            <c:ext xmlns:c16="http://schemas.microsoft.com/office/drawing/2014/chart" uri="{C3380CC4-5D6E-409C-BE32-E72D297353CC}">
              <c16:uniqueId val="{00000001-3092-453E-ABCC-8A9596F1F5E0}"/>
            </c:ext>
          </c:extLst>
        </c:ser>
        <c:dLbls>
          <c:showLegendKey val="0"/>
          <c:showVal val="0"/>
          <c:showCatName val="0"/>
          <c:showSerName val="0"/>
          <c:showPercent val="0"/>
          <c:showBubbleSize val="0"/>
        </c:dLbls>
        <c:marker val="1"/>
        <c:smooth val="0"/>
        <c:axId val="785528383"/>
        <c:axId val="785540863"/>
      </c:lineChart>
      <c:catAx>
        <c:axId val="785527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44223"/>
        <c:crosses val="autoZero"/>
        <c:auto val="1"/>
        <c:lblAlgn val="ctr"/>
        <c:lblOffset val="100"/>
        <c:noMultiLvlLbl val="0"/>
      </c:catAx>
      <c:valAx>
        <c:axId val="785544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27423"/>
        <c:crosses val="autoZero"/>
        <c:crossBetween val="between"/>
      </c:valAx>
      <c:valAx>
        <c:axId val="78554086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28383"/>
        <c:crosses val="max"/>
        <c:crossBetween val="between"/>
      </c:valAx>
      <c:catAx>
        <c:axId val="785528383"/>
        <c:scaling>
          <c:orientation val="minMax"/>
        </c:scaling>
        <c:delete val="0"/>
        <c:axPos val="t"/>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4086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[Credit_Card_Fraud_Cleaned_Dataset.xlsx]Sheet6!PivotTable10</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customers with more fraud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Sheet6!$B$27</c:f>
              <c:strCache>
                <c:ptCount val="1"/>
                <c:pt idx="0">
                  <c:v>Total</c:v>
                </c:pt>
              </c:strCache>
            </c:strRef>
          </c:tx>
          <c:spPr>
            <a:solidFill>
              <a:srgbClr val="00B050"/>
            </a:solidFill>
            <a:ln>
              <a:noFill/>
            </a:ln>
            <a:effectLst>
              <a:glow rad="63500">
                <a:schemeClr val="accent2">
                  <a:satMod val="175000"/>
                  <a:alpha val="40000"/>
                </a:schemeClr>
              </a:glo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Sheet6!$A$28:$A$33</c:f>
              <c:strCache>
                <c:ptCount val="5"/>
                <c:pt idx="0">
                  <c:v>10003</c:v>
                </c:pt>
                <c:pt idx="1">
                  <c:v>10005</c:v>
                </c:pt>
                <c:pt idx="2">
                  <c:v>10061</c:v>
                </c:pt>
                <c:pt idx="3">
                  <c:v>10085</c:v>
                </c:pt>
                <c:pt idx="4">
                  <c:v>10095</c:v>
                </c:pt>
              </c:strCache>
            </c:strRef>
          </c:cat>
          <c:val>
            <c:numRef>
              <c:f>Sheet6!$B$28:$B$33</c:f>
              <c:numCache>
                <c:formatCode>General</c:formatCode>
                <c:ptCount val="5"/>
                <c:pt idx="0">
                  <c:v>5</c:v>
                </c:pt>
                <c:pt idx="1">
                  <c:v>5</c:v>
                </c:pt>
                <c:pt idx="2">
                  <c:v>5</c:v>
                </c:pt>
                <c:pt idx="3">
                  <c:v>5</c:v>
                </c:pt>
                <c:pt idx="4">
                  <c:v>4</c:v>
                </c:pt>
              </c:numCache>
            </c:numRef>
          </c:val>
          <c:extLst>
            <c:ext xmlns:c16="http://schemas.microsoft.com/office/drawing/2014/chart" uri="{C3380CC4-5D6E-409C-BE32-E72D297353CC}">
              <c16:uniqueId val="{00000000-7E10-4231-BFE1-B57606C71A1A}"/>
            </c:ext>
          </c:extLst>
        </c:ser>
        <c:dLbls>
          <c:dLblPos val="inEnd"/>
          <c:showLegendKey val="0"/>
          <c:showVal val="1"/>
          <c:showCatName val="0"/>
          <c:showSerName val="0"/>
          <c:showPercent val="0"/>
          <c:showBubbleSize val="0"/>
        </c:dLbls>
        <c:gapWidth val="100"/>
        <c:overlap val="-24"/>
        <c:axId val="825815567"/>
        <c:axId val="825816047"/>
      </c:barChart>
      <c:catAx>
        <c:axId val="825815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16047"/>
        <c:crosses val="autoZero"/>
        <c:auto val="1"/>
        <c:lblAlgn val="ctr"/>
        <c:lblOffset val="100"/>
        <c:noMultiLvlLbl val="0"/>
      </c:catAx>
      <c:valAx>
        <c:axId val="825816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1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hyperlink" Target="https://openclipart.org/detail/196667/mono%20bank" TargetMode="External"/><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274320</xdr:colOff>
      <xdr:row>5</xdr:row>
      <xdr:rowOff>129540</xdr:rowOff>
    </xdr:from>
    <xdr:to>
      <xdr:col>7</xdr:col>
      <xdr:colOff>533400</xdr:colOff>
      <xdr:row>16</xdr:row>
      <xdr:rowOff>45720</xdr:rowOff>
    </xdr:to>
    <xdr:graphicFrame macro="">
      <xdr:nvGraphicFramePr>
        <xdr:cNvPr id="2" name="Chart 1">
          <a:extLst>
            <a:ext uri="{FF2B5EF4-FFF2-40B4-BE49-F238E27FC236}">
              <a16:creationId xmlns:a16="http://schemas.microsoft.com/office/drawing/2014/main" id="{5188DDDD-1D93-435D-A652-2484245DA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289560</xdr:colOff>
      <xdr:row>28</xdr:row>
      <xdr:rowOff>121920</xdr:rowOff>
    </xdr:from>
    <xdr:to>
      <xdr:col>11</xdr:col>
      <xdr:colOff>312420</xdr:colOff>
      <xdr:row>37</xdr:row>
      <xdr:rowOff>160020</xdr:rowOff>
    </xdr:to>
    <xdr:graphicFrame macro="">
      <xdr:nvGraphicFramePr>
        <xdr:cNvPr id="3" name="Chart 2">
          <a:extLst>
            <a:ext uri="{FF2B5EF4-FFF2-40B4-BE49-F238E27FC236}">
              <a16:creationId xmlns:a16="http://schemas.microsoft.com/office/drawing/2014/main" id="{0BE27417-A7B3-47BA-A253-B3F3952B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281940</xdr:colOff>
      <xdr:row>16</xdr:row>
      <xdr:rowOff>16933</xdr:rowOff>
    </xdr:from>
    <xdr:to>
      <xdr:col>7</xdr:col>
      <xdr:colOff>403860</xdr:colOff>
      <xdr:row>28</xdr:row>
      <xdr:rowOff>137160</xdr:rowOff>
    </xdr:to>
    <xdr:graphicFrame macro="">
      <xdr:nvGraphicFramePr>
        <xdr:cNvPr id="4" name="Chart 3">
          <a:extLst>
            <a:ext uri="{FF2B5EF4-FFF2-40B4-BE49-F238E27FC236}">
              <a16:creationId xmlns:a16="http://schemas.microsoft.com/office/drawing/2014/main" id="{CF652631-CF68-4AC5-97B2-14DF2CDEB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532553</xdr:colOff>
      <xdr:row>5</xdr:row>
      <xdr:rowOff>127000</xdr:rowOff>
    </xdr:from>
    <xdr:to>
      <xdr:col>12</xdr:col>
      <xdr:colOff>532553</xdr:colOff>
      <xdr:row>16</xdr:row>
      <xdr:rowOff>113453</xdr:rowOff>
    </xdr:to>
    <xdr:graphicFrame macro="">
      <xdr:nvGraphicFramePr>
        <xdr:cNvPr id="5" name="Chart 4">
          <a:extLst>
            <a:ext uri="{FF2B5EF4-FFF2-40B4-BE49-F238E27FC236}">
              <a16:creationId xmlns:a16="http://schemas.microsoft.com/office/drawing/2014/main" id="{AB22B350-2B25-4583-B8D8-33EA990C2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396239</xdr:colOff>
      <xdr:row>16</xdr:row>
      <xdr:rowOff>53340</xdr:rowOff>
    </xdr:from>
    <xdr:to>
      <xdr:col>12</xdr:col>
      <xdr:colOff>118532</xdr:colOff>
      <xdr:row>28</xdr:row>
      <xdr:rowOff>129540</xdr:rowOff>
    </xdr:to>
    <xdr:graphicFrame macro="">
      <xdr:nvGraphicFramePr>
        <xdr:cNvPr id="6" name="Chart 5">
          <a:extLst>
            <a:ext uri="{FF2B5EF4-FFF2-40B4-BE49-F238E27FC236}">
              <a16:creationId xmlns:a16="http://schemas.microsoft.com/office/drawing/2014/main" id="{4A68CE2A-0F32-4218-8921-717822EE5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541020</xdr:colOff>
      <xdr:row>5</xdr:row>
      <xdr:rowOff>167640</xdr:rowOff>
    </xdr:from>
    <xdr:to>
      <xdr:col>18</xdr:col>
      <xdr:colOff>502920</xdr:colOff>
      <xdr:row>16</xdr:row>
      <xdr:rowOff>144780</xdr:rowOff>
    </xdr:to>
    <xdr:graphicFrame macro="">
      <xdr:nvGraphicFramePr>
        <xdr:cNvPr id="7" name="Chart 6">
          <a:extLst>
            <a:ext uri="{FF2B5EF4-FFF2-40B4-BE49-F238E27FC236}">
              <a16:creationId xmlns:a16="http://schemas.microsoft.com/office/drawing/2014/main" id="{D329A36C-5CCA-468A-9E33-8F5C1A7B2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297180</xdr:colOff>
      <xdr:row>28</xdr:row>
      <xdr:rowOff>67733</xdr:rowOff>
    </xdr:from>
    <xdr:to>
      <xdr:col>18</xdr:col>
      <xdr:colOff>533400</xdr:colOff>
      <xdr:row>37</xdr:row>
      <xdr:rowOff>175260</xdr:rowOff>
    </xdr:to>
    <xdr:graphicFrame macro="">
      <xdr:nvGraphicFramePr>
        <xdr:cNvPr id="8" name="Chart 7">
          <a:extLst>
            <a:ext uri="{FF2B5EF4-FFF2-40B4-BE49-F238E27FC236}">
              <a16:creationId xmlns:a16="http://schemas.microsoft.com/office/drawing/2014/main" id="{9AE1A644-3855-4000-83CE-DB73ACAF8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76199</xdr:colOff>
      <xdr:row>16</xdr:row>
      <xdr:rowOff>68580</xdr:rowOff>
    </xdr:from>
    <xdr:to>
      <xdr:col>18</xdr:col>
      <xdr:colOff>524933</xdr:colOff>
      <xdr:row>28</xdr:row>
      <xdr:rowOff>129540</xdr:rowOff>
    </xdr:to>
    <xdr:graphicFrame macro="">
      <xdr:nvGraphicFramePr>
        <xdr:cNvPr id="9" name="Chart 8">
          <a:extLst>
            <a:ext uri="{FF2B5EF4-FFF2-40B4-BE49-F238E27FC236}">
              <a16:creationId xmlns:a16="http://schemas.microsoft.com/office/drawing/2014/main" id="{14BDCA96-0A8D-4E56-AEAA-DEFE166FD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213360</xdr:colOff>
      <xdr:row>0</xdr:row>
      <xdr:rowOff>0</xdr:rowOff>
    </xdr:from>
    <xdr:to>
      <xdr:col>18</xdr:col>
      <xdr:colOff>472440</xdr:colOff>
      <xdr:row>3</xdr:row>
      <xdr:rowOff>30480</xdr:rowOff>
    </xdr:to>
    <xdr:sp macro="" textlink="">
      <xdr:nvSpPr>
        <xdr:cNvPr id="10" name="Rectangle 9">
          <a:extLst>
            <a:ext uri="{FF2B5EF4-FFF2-40B4-BE49-F238E27FC236}">
              <a16:creationId xmlns:a16="http://schemas.microsoft.com/office/drawing/2014/main" id="{D3383C6A-0E9D-052D-EAB0-C119704B10B4}"/>
            </a:ext>
          </a:extLst>
        </xdr:cNvPr>
        <xdr:cNvSpPr/>
      </xdr:nvSpPr>
      <xdr:spPr>
        <a:xfrm>
          <a:off x="822960" y="0"/>
          <a:ext cx="10622280" cy="579120"/>
        </a:xfrm>
        <a:prstGeom prst="rect">
          <a:avLst/>
        </a:prstGeom>
        <a:solidFill>
          <a:schemeClr val="accent3"/>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aseline="0"/>
            <a:t>                                     </a:t>
          </a:r>
          <a:r>
            <a:rPr lang="en-US" sz="2000" b="1" baseline="0"/>
            <a:t>Credit Card Fraud Transaction Analysis</a:t>
          </a:r>
          <a:endParaRPr lang="en-US" sz="2000" b="1"/>
        </a:p>
      </xdr:txBody>
    </xdr:sp>
    <xdr:clientData/>
  </xdr:twoCellAnchor>
  <xdr:twoCellAnchor>
    <xdr:from>
      <xdr:col>6</xdr:col>
      <xdr:colOff>160020</xdr:colOff>
      <xdr:row>3</xdr:row>
      <xdr:rowOff>22860</xdr:rowOff>
    </xdr:from>
    <xdr:to>
      <xdr:col>9</xdr:col>
      <xdr:colOff>129540</xdr:colOff>
      <xdr:row>5</xdr:row>
      <xdr:rowOff>129540</xdr:rowOff>
    </xdr:to>
    <xdr:sp macro="" textlink="">
      <xdr:nvSpPr>
        <xdr:cNvPr id="12" name="Rectangle 11">
          <a:extLst>
            <a:ext uri="{FF2B5EF4-FFF2-40B4-BE49-F238E27FC236}">
              <a16:creationId xmlns:a16="http://schemas.microsoft.com/office/drawing/2014/main" id="{9172E8CA-ECF5-BD8A-34BD-AAE1406DFFA5}"/>
            </a:ext>
          </a:extLst>
        </xdr:cNvPr>
        <xdr:cNvSpPr/>
      </xdr:nvSpPr>
      <xdr:spPr>
        <a:xfrm>
          <a:off x="3947160" y="571500"/>
          <a:ext cx="1798320" cy="4724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t>Total</a:t>
          </a:r>
          <a:r>
            <a:rPr lang="en-US" sz="1200" b="1" baseline="0"/>
            <a:t> </a:t>
          </a:r>
          <a:r>
            <a:rPr lang="en-US" sz="1200" b="1"/>
            <a:t>Fraud</a:t>
          </a:r>
          <a:r>
            <a:rPr lang="en-US" sz="1200" b="1" baseline="0"/>
            <a:t> transactions</a:t>
          </a:r>
        </a:p>
        <a:p>
          <a:pPr algn="l"/>
          <a:r>
            <a:rPr lang="en-US" sz="1100" baseline="0"/>
            <a:t>                   164</a:t>
          </a:r>
          <a:endParaRPr lang="en-US" sz="1100"/>
        </a:p>
      </xdr:txBody>
    </xdr:sp>
    <xdr:clientData/>
  </xdr:twoCellAnchor>
  <xdr:twoCellAnchor>
    <xdr:from>
      <xdr:col>9</xdr:col>
      <xdr:colOff>182880</xdr:colOff>
      <xdr:row>3</xdr:row>
      <xdr:rowOff>30480</xdr:rowOff>
    </xdr:from>
    <xdr:to>
      <xdr:col>12</xdr:col>
      <xdr:colOff>236220</xdr:colOff>
      <xdr:row>5</xdr:row>
      <xdr:rowOff>152400</xdr:rowOff>
    </xdr:to>
    <xdr:sp macro="" textlink="">
      <xdr:nvSpPr>
        <xdr:cNvPr id="13" name="Rectangle 12">
          <a:extLst>
            <a:ext uri="{FF2B5EF4-FFF2-40B4-BE49-F238E27FC236}">
              <a16:creationId xmlns:a16="http://schemas.microsoft.com/office/drawing/2014/main" id="{F390145D-1606-1044-049C-D463654B345B}"/>
            </a:ext>
          </a:extLst>
        </xdr:cNvPr>
        <xdr:cNvSpPr/>
      </xdr:nvSpPr>
      <xdr:spPr>
        <a:xfrm>
          <a:off x="5798820" y="579120"/>
          <a:ext cx="1882140" cy="4876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t>Fraud rate %</a:t>
          </a:r>
        </a:p>
        <a:p>
          <a:pPr algn="ctr"/>
          <a:r>
            <a:rPr lang="en-US" sz="1100" b="0" i="0" u="none" strike="noStrike">
              <a:solidFill>
                <a:schemeClr val="dk1"/>
              </a:solidFill>
              <a:effectLst/>
              <a:latin typeface="+mn-lt"/>
              <a:ea typeface="+mn-ea"/>
              <a:cs typeface="+mn-cs"/>
            </a:rPr>
            <a:t>0.163836</a:t>
          </a:r>
          <a:r>
            <a:rPr lang="en-US" sz="1200">
              <a:effectLst/>
            </a:rPr>
            <a:t> </a:t>
          </a:r>
          <a:endParaRPr lang="en-US" sz="1200" b="1"/>
        </a:p>
      </xdr:txBody>
    </xdr:sp>
    <xdr:clientData/>
  </xdr:twoCellAnchor>
  <xdr:twoCellAnchor>
    <xdr:from>
      <xdr:col>12</xdr:col>
      <xdr:colOff>304799</xdr:colOff>
      <xdr:row>3</xdr:row>
      <xdr:rowOff>53340</xdr:rowOff>
    </xdr:from>
    <xdr:to>
      <xdr:col>15</xdr:col>
      <xdr:colOff>440266</xdr:colOff>
      <xdr:row>5</xdr:row>
      <xdr:rowOff>144780</xdr:rowOff>
    </xdr:to>
    <xdr:sp macro="" textlink="">
      <xdr:nvSpPr>
        <xdr:cNvPr id="14" name="Rectangle 13">
          <a:extLst>
            <a:ext uri="{FF2B5EF4-FFF2-40B4-BE49-F238E27FC236}">
              <a16:creationId xmlns:a16="http://schemas.microsoft.com/office/drawing/2014/main" id="{6DCB2425-0DB1-1B90-82EC-0C908B2366AF}"/>
            </a:ext>
          </a:extLst>
        </xdr:cNvPr>
        <xdr:cNvSpPr/>
      </xdr:nvSpPr>
      <xdr:spPr>
        <a:xfrm>
          <a:off x="7746999" y="612140"/>
          <a:ext cx="1964267" cy="46397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b="1"/>
            <a:t>Average Transaction amount</a:t>
          </a:r>
        </a:p>
        <a:p>
          <a:pPr algn="ctr"/>
          <a:r>
            <a:rPr lang="en-US" sz="1100" b="1"/>
            <a:t>      </a:t>
          </a:r>
          <a:r>
            <a:rPr lang="en-US" sz="1100" b="0"/>
            <a:t>49289.3</a:t>
          </a:r>
        </a:p>
      </xdr:txBody>
    </xdr:sp>
    <xdr:clientData/>
  </xdr:twoCellAnchor>
  <xdr:twoCellAnchor>
    <xdr:from>
      <xdr:col>15</xdr:col>
      <xdr:colOff>472440</xdr:colOff>
      <xdr:row>3</xdr:row>
      <xdr:rowOff>60960</xdr:rowOff>
    </xdr:from>
    <xdr:to>
      <xdr:col>18</xdr:col>
      <xdr:colOff>457200</xdr:colOff>
      <xdr:row>5</xdr:row>
      <xdr:rowOff>175260</xdr:rowOff>
    </xdr:to>
    <xdr:sp macro="" textlink="">
      <xdr:nvSpPr>
        <xdr:cNvPr id="15" name="Rectangle 14">
          <a:extLst>
            <a:ext uri="{FF2B5EF4-FFF2-40B4-BE49-F238E27FC236}">
              <a16:creationId xmlns:a16="http://schemas.microsoft.com/office/drawing/2014/main" id="{2B61E0ED-D976-EA03-8AE6-CDBB69A3B592}"/>
            </a:ext>
          </a:extLst>
        </xdr:cNvPr>
        <xdr:cNvSpPr/>
      </xdr:nvSpPr>
      <xdr:spPr>
        <a:xfrm>
          <a:off x="9743440" y="619760"/>
          <a:ext cx="1813560" cy="48683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baseline="0"/>
            <a:t>Fraud Rate Amount</a:t>
          </a:r>
        </a:p>
        <a:p>
          <a:pPr algn="ctr"/>
          <a:r>
            <a:rPr lang="en-US" sz="1200" b="1" baseline="0"/>
            <a:t> </a:t>
          </a:r>
          <a:r>
            <a:rPr lang="en-US" sz="1100" b="0" i="0" u="none" strike="noStrike">
              <a:solidFill>
                <a:schemeClr val="dk1"/>
              </a:solidFill>
              <a:effectLst/>
              <a:latin typeface="+mn-lt"/>
              <a:ea typeface="+mn-ea"/>
              <a:cs typeface="+mn-cs"/>
            </a:rPr>
            <a:t>0.246152</a:t>
          </a:r>
          <a:r>
            <a:rPr lang="en-US" sz="1200">
              <a:effectLst/>
            </a:rPr>
            <a:t> </a:t>
          </a:r>
          <a:endParaRPr lang="en-US" sz="1200" b="1"/>
        </a:p>
      </xdr:txBody>
    </xdr:sp>
    <xdr:clientData/>
  </xdr:twoCellAnchor>
  <xdr:twoCellAnchor>
    <xdr:from>
      <xdr:col>1</xdr:col>
      <xdr:colOff>236220</xdr:colOff>
      <xdr:row>3</xdr:row>
      <xdr:rowOff>22860</xdr:rowOff>
    </xdr:from>
    <xdr:to>
      <xdr:col>3</xdr:col>
      <xdr:colOff>274320</xdr:colOff>
      <xdr:row>38</xdr:row>
      <xdr:rowOff>0</xdr:rowOff>
    </xdr:to>
    <xdr:sp macro="" textlink="">
      <xdr:nvSpPr>
        <xdr:cNvPr id="17" name="Rectangle 16">
          <a:extLst>
            <a:ext uri="{FF2B5EF4-FFF2-40B4-BE49-F238E27FC236}">
              <a16:creationId xmlns:a16="http://schemas.microsoft.com/office/drawing/2014/main" id="{8243C108-1192-6CDD-4387-3070B7389862}"/>
            </a:ext>
          </a:extLst>
        </xdr:cNvPr>
        <xdr:cNvSpPr/>
      </xdr:nvSpPr>
      <xdr:spPr>
        <a:xfrm>
          <a:off x="845820" y="571500"/>
          <a:ext cx="1257300" cy="63779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251460</xdr:colOff>
      <xdr:row>28</xdr:row>
      <xdr:rowOff>38100</xdr:rowOff>
    </xdr:from>
    <xdr:to>
      <xdr:col>3</xdr:col>
      <xdr:colOff>259080</xdr:colOff>
      <xdr:row>37</xdr:row>
      <xdr:rowOff>152401</xdr:rowOff>
    </xdr:to>
    <mc:AlternateContent xmlns:mc="http://schemas.openxmlformats.org/markup-compatibility/2006" xmlns:a14="http://schemas.microsoft.com/office/drawing/2010/main">
      <mc:Choice Requires="a14">
        <xdr:graphicFrame macro="">
          <xdr:nvGraphicFramePr>
            <xdr:cNvPr id="18" name="Location">
              <a:extLst>
                <a:ext uri="{FF2B5EF4-FFF2-40B4-BE49-F238E27FC236}">
                  <a16:creationId xmlns:a16="http://schemas.microsoft.com/office/drawing/2014/main" id="{F2675BC2-33B9-B867-1D77-7A0A9327235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61060" y="5253567"/>
              <a:ext cx="1226820" cy="1790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518160</xdr:colOff>
      <xdr:row>4</xdr:row>
      <xdr:rowOff>152400</xdr:rowOff>
    </xdr:from>
    <xdr:to>
      <xdr:col>3</xdr:col>
      <xdr:colOff>60960</xdr:colOff>
      <xdr:row>10</xdr:row>
      <xdr:rowOff>84666</xdr:rowOff>
    </xdr:to>
    <xdr:pic>
      <xdr:nvPicPr>
        <xdr:cNvPr id="20" name="Picture 19">
          <a:extLst>
            <a:ext uri="{FF2B5EF4-FFF2-40B4-BE49-F238E27FC236}">
              <a16:creationId xmlns:a16="http://schemas.microsoft.com/office/drawing/2014/main" id="{96139E67-EC6A-FBED-6012-96CBD56CD37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127760" y="897467"/>
          <a:ext cx="762000" cy="1049866"/>
        </a:xfrm>
        <a:prstGeom prst="rect">
          <a:avLst/>
        </a:prstGeom>
      </xdr:spPr>
    </xdr:pic>
    <xdr:clientData/>
  </xdr:twoCellAnchor>
  <xdr:twoCellAnchor>
    <xdr:from>
      <xdr:col>3</xdr:col>
      <xdr:colOff>327660</xdr:colOff>
      <xdr:row>3</xdr:row>
      <xdr:rowOff>45720</xdr:rowOff>
    </xdr:from>
    <xdr:to>
      <xdr:col>6</xdr:col>
      <xdr:colOff>83820</xdr:colOff>
      <xdr:row>5</xdr:row>
      <xdr:rowOff>129540</xdr:rowOff>
    </xdr:to>
    <xdr:sp macro="" textlink="">
      <xdr:nvSpPr>
        <xdr:cNvPr id="21" name="Rectangle 20">
          <a:extLst>
            <a:ext uri="{FF2B5EF4-FFF2-40B4-BE49-F238E27FC236}">
              <a16:creationId xmlns:a16="http://schemas.microsoft.com/office/drawing/2014/main" id="{FFD8AB14-2142-EDB8-76D0-B9C1A756A846}"/>
            </a:ext>
          </a:extLst>
        </xdr:cNvPr>
        <xdr:cNvSpPr/>
      </xdr:nvSpPr>
      <xdr:spPr>
        <a:xfrm>
          <a:off x="2156460" y="594360"/>
          <a:ext cx="1714500" cy="4495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t>Total</a:t>
          </a:r>
          <a:r>
            <a:rPr lang="en-US" sz="1200" b="1" baseline="0"/>
            <a:t> Transactions</a:t>
          </a:r>
        </a:p>
        <a:p>
          <a:pPr algn="l"/>
          <a:r>
            <a:rPr lang="en-US" sz="1100" baseline="0"/>
            <a:t>              1000</a:t>
          </a:r>
          <a:endParaRPr lang="en-US" sz="1100"/>
        </a:p>
      </xdr:txBody>
    </xdr:sp>
    <xdr:clientData/>
  </xdr:twoCellAnchor>
  <xdr:twoCellAnchor editAs="oneCell">
    <xdr:from>
      <xdr:col>1</xdr:col>
      <xdr:colOff>237066</xdr:colOff>
      <xdr:row>18</xdr:row>
      <xdr:rowOff>16932</xdr:rowOff>
    </xdr:from>
    <xdr:to>
      <xdr:col>3</xdr:col>
      <xdr:colOff>245533</xdr:colOff>
      <xdr:row>28</xdr:row>
      <xdr:rowOff>42332</xdr:rowOff>
    </xdr:to>
    <mc:AlternateContent xmlns:mc="http://schemas.openxmlformats.org/markup-compatibility/2006" xmlns:tsle="http://schemas.microsoft.com/office/drawing/2012/timeslicer">
      <mc:Choice Requires="tsle">
        <xdr:graphicFrame macro="">
          <xdr:nvGraphicFramePr>
            <xdr:cNvPr id="19" name="Date2">
              <a:extLst>
                <a:ext uri="{FF2B5EF4-FFF2-40B4-BE49-F238E27FC236}">
                  <a16:creationId xmlns:a16="http://schemas.microsoft.com/office/drawing/2014/main" id="{52056C93-737A-B9E4-BE9C-298FF942111F}"/>
                </a:ext>
              </a:extLst>
            </xdr:cNvPr>
            <xdr:cNvGraphicFramePr/>
          </xdr:nvGraphicFramePr>
          <xdr:xfrm>
            <a:off x="0" y="0"/>
            <a:ext cx="0" cy="0"/>
          </xdr:xfrm>
          <a:graphic>
            <a:graphicData uri="http://schemas.microsoft.com/office/drawing/2012/timeslicer">
              <tsle:timeslicer name="Date2"/>
            </a:graphicData>
          </a:graphic>
        </xdr:graphicFrame>
      </mc:Choice>
      <mc:Fallback xmlns="">
        <xdr:sp macro="" textlink="">
          <xdr:nvSpPr>
            <xdr:cNvPr id="0" name=""/>
            <xdr:cNvSpPr>
              <a:spLocks noTextEdit="1"/>
            </xdr:cNvSpPr>
          </xdr:nvSpPr>
          <xdr:spPr>
            <a:xfrm>
              <a:off x="846666" y="3369732"/>
              <a:ext cx="1278467" cy="18880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0115739" backgroundQuery="1" createdVersion="8" refreshedVersion="8" minRefreshableVersion="3" recordCount="0" supportSubquery="1" supportAdvancedDrill="1" xr:uid="{06255043-57F2-44D0-A574-507E0D644363}">
  <cacheSource type="external" connectionId="1"/>
  <cacheFields count="3">
    <cacheField name="[Table1].[Is_Fraud].[Is_Fraud]" caption="Is_Fraud" numFmtId="0" hierarchy="8"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Is_Fraud].&amp;[0]"/>
            <x15:cachedUniqueName index="1" name="[Table1].[Is_Fraud].&amp;[1]"/>
          </x15:cachedUniqueNames>
        </ext>
      </extLst>
    </cacheField>
    <cacheField name="[Measures].[Count of Transaction_ID]" caption="Count of Transaction_ID" numFmtId="0" hierarchy="35"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2" memberValueDatatype="20" unbalanced="0">
      <fieldsUsage count="2">
        <fieldUsage x="-1"/>
        <fieldUsage x="0"/>
      </fieldsUsage>
    </cacheHierarchy>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0347223" backgroundQuery="1" createdVersion="8" refreshedVersion="8" minRefreshableVersion="3" recordCount="0" supportSubquery="1" supportAdvancedDrill="1" xr:uid="{3595BE7D-88AF-494C-BEBA-8B59FF97B066}">
  <cacheSource type="external" connectionId="1"/>
  <cacheFields count="2">
    <cacheField name="[Measures].[Count of Transaction_ID]" caption="Count of Transaction_ID" numFmtId="0" hierarchy="35"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1"/>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0810185" backgroundQuery="1" createdVersion="8" refreshedVersion="8" minRefreshableVersion="3" recordCount="0" supportSubquery="1" supportAdvancedDrill="1" xr:uid="{A031EED0-2C1B-4100-8158-9F144D55AE46}">
  <cacheSource type="external" connectionId="1"/>
  <cacheFields count="3">
    <cacheField name="[Table1].[Customer_ID].[Customer_ID]" caption="Customer_ID" numFmtId="0" hierarchy="1" level="1">
      <sharedItems containsSemiMixedTypes="0" containsString="0" containsNumber="1" containsInteger="1" minValue="10003" maxValue="10095" count="5">
        <n v="10003"/>
        <n v="10005"/>
        <n v="10061"/>
        <n v="10085"/>
        <n v="10095"/>
      </sharedItems>
      <extLst>
        <ext xmlns:x15="http://schemas.microsoft.com/office/spreadsheetml/2010/11/main" uri="{4F2E5C28-24EA-4eb8-9CBF-B6C8F9C3D259}">
          <x15:cachedUniqueNames>
            <x15:cachedUniqueName index="0" name="[Table1].[Customer_ID].&amp;[10003]"/>
            <x15:cachedUniqueName index="1" name="[Table1].[Customer_ID].&amp;[10005]"/>
            <x15:cachedUniqueName index="2" name="[Table1].[Customer_ID].&amp;[10061]"/>
            <x15:cachedUniqueName index="3" name="[Table1].[Customer_ID].&amp;[10085]"/>
            <x15:cachedUniqueName index="4" name="[Table1].[Customer_ID].&amp;[10095]"/>
          </x15:cachedUniqueNames>
        </ext>
      </extLst>
    </cacheField>
    <cacheField name="[Measures].[Sum of Is_Fraud]" caption="Sum of Is_Fraud" numFmtId="0" hierarchy="33"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2" memberValueDatatype="20" unbalanced="0">
      <fieldsUsage count="2">
        <fieldUsage x="-1"/>
        <fieldUsage x="0"/>
      </fieldsUsage>
    </cacheHierarchy>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1388886" backgroundQuery="1" createdVersion="8" refreshedVersion="8" minRefreshableVersion="3" recordCount="0" supportSubquery="1" supportAdvancedDrill="1" xr:uid="{6CDCD0AD-BA61-45B3-8A63-0FE28C4B50AE}">
  <cacheSource type="external" connectionId="1"/>
  <cacheFields count="3">
    <cacheField name="[Measures].[Count of Transaction_ID 2]" caption="Count of Transaction_ID 2" numFmtId="0" hierarchy="38" level="32767"/>
    <cacheField name="[Measures].[Sum of Is_Fraud 2]" caption="Sum of Is_Fraud 2" numFmtId="0" hierarchy="39"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1736109" backgroundQuery="1" createdVersion="8" refreshedVersion="8" minRefreshableVersion="3" recordCount="0" supportSubquery="1" supportAdvancedDrill="1" xr:uid="{41BA2902-7729-4E5D-9DA2-E21D682783F6}">
  <cacheSource type="external" connectionId="1"/>
  <cacheFields count="2">
    <cacheField name="[Table1].[Location].[Location]" caption="Location" numFmtId="0" hierarchy="3" level="1">
      <sharedItems count="5">
        <s v="Bangalore"/>
        <s v="Chennai"/>
        <s v="Delhi"/>
        <s v="Hyderabad"/>
        <s v="Mumbai"/>
      </sharedItems>
    </cacheField>
    <cacheField name="[Measures].[Sum of Is_Fraud]" caption="Sum of Is_Fraud" numFmtId="0" hierarchy="33" level="32767"/>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2314817" backgroundQuery="1" createdVersion="8" refreshedVersion="8" minRefreshableVersion="3" recordCount="0" supportSubquery="1" supportAdvancedDrill="1" xr:uid="{3C463517-3C8D-4E82-A1EC-7B833E65F36C}">
  <cacheSource type="external" connectionId="1"/>
  <cacheFields count="3">
    <cacheField name="[Measures].[Sum of Is_Fraud]" caption="Sum of Is_Fraud" numFmtId="0" hierarchy="33" level="32767"/>
    <cacheField name="[Table1].[Date2 (Month)].[Date2 (Month)]" caption="Date2 (Month)" numFmtId="0" hierarchy="14" level="1">
      <sharedItems count="2">
        <s v="Jan"/>
        <s v="Feb"/>
      </sharedItems>
    </cacheField>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2" memberValueDatatype="130" unbalanced="0">
      <fieldsUsage count="2">
        <fieldUsage x="-1"/>
        <fieldUsage x="1"/>
      </fieldsUsage>
    </cacheHierarchy>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266204" backgroundQuery="1" createdVersion="8" refreshedVersion="8" minRefreshableVersion="3" recordCount="0" supportSubquery="1" supportAdvancedDrill="1" xr:uid="{B8C112C2-2F6E-404B-B96E-CA151864B985}">
  <cacheSource type="external" connectionId="1"/>
  <cacheFields count="4">
    <cacheField name="[Table1].[Transaction_Type].[Transaction_Type]" caption="Transaction_Type" numFmtId="0" hierarchy="4" level="1">
      <sharedItems count="3">
        <s v="ATM"/>
        <s v="Online"/>
        <s v="POS"/>
      </sharedItems>
    </cacheField>
    <cacheField name="[Table1].[Is_Fraud].[Is_Fraud]" caption="Is_Fraud" numFmtId="0" hierarchy="8"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Is_Fraud].&amp;[0]"/>
            <x15:cachedUniqueName index="1" name="[Table1].[Is_Fraud].&amp;[1]"/>
          </x15:cachedUniqueNames>
        </ext>
      </extLst>
    </cacheField>
    <cacheField name="[Measures].[Count of Transaction_ID]" caption="Count of Transaction_ID" numFmtId="0" hierarchy="35"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Transaction_Type]" caption="Transaction_Type" attribute="1" defaultMemberUniqueName="[Table1].[Transaction_Type].[All]" allUniqueName="[Table1].[Transaction_Type].[All]" dimensionUniqueName="[Table1]" displayFolder="" count="2" memberValueDatatype="130" unbalanced="0">
      <fieldsUsage count="2">
        <fieldUsage x="-1"/>
        <fieldUsage x="0"/>
      </fieldsUsage>
    </cacheHierarchy>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2" memberValueDatatype="20" unbalanced="0">
      <fieldsUsage count="2">
        <fieldUsage x="-1"/>
        <fieldUsage x="1"/>
      </fieldsUsage>
    </cacheHierarchy>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3240741" backgroundQuery="1" createdVersion="8" refreshedVersion="8" minRefreshableVersion="3" recordCount="0" supportSubquery="1" supportAdvancedDrill="1" xr:uid="{F8705504-481D-434D-A8C8-8D8E34D67D53}">
  <cacheSource type="external" connectionId="1"/>
  <cacheFields count="3">
    <cacheField name="[Table1].[Card_Type].[Card_Type]" caption="Card_Type" numFmtId="0" hierarchy="5" level="1">
      <sharedItems count="2">
        <s v="Credit"/>
        <s v="Debit"/>
      </sharedItems>
    </cacheField>
    <cacheField name="[Measures].[Sum of Is_Fraud]" caption="Sum of Is_Fraud" numFmtId="0" hierarchy="33"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2" memberValueDatatype="130" unbalanced="0">
      <fieldsUsage count="2">
        <fieldUsage x="-1"/>
        <fieldUsage x="0"/>
      </fieldsUsage>
    </cacheHierarchy>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3819441" backgroundQuery="1" createdVersion="8" refreshedVersion="8" minRefreshableVersion="3" recordCount="0" supportSubquery="1" supportAdvancedDrill="1" xr:uid="{A36228DF-E11C-4AEC-8B42-187BC19D5EBF}">
  <cacheSource type="external" connectionId="1"/>
  <cacheFields count="3">
    <cacheField name="[Table1].[Merchant_Category].[Merchant_Category]" caption="Merchant_Category" numFmtId="0" hierarchy="6" level="1">
      <sharedItems count="5">
        <s v="Electronics"/>
        <s v="Fashion"/>
        <s v="Food"/>
        <s v="Grocery"/>
        <s v="Travel"/>
      </sharedItems>
    </cacheField>
    <cacheField name="[Measures].[Sum of Is_Fraud]" caption="Sum of Is_Fraud" numFmtId="0" hierarchy="33" level="32767"/>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2" memberValueDatatype="130" unbalanced="0">
      <fieldsUsage count="2">
        <fieldUsage x="-1"/>
        <fieldUsage x="0"/>
      </fieldsUsage>
    </cacheHierarchy>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428241" backgroundQuery="1" createdVersion="8" refreshedVersion="8" minRefreshableVersion="3" recordCount="0" supportSubquery="1" supportAdvancedDrill="1" xr:uid="{D5053345-C4A1-4869-9FC2-3B4D98890D39}">
  <cacheSource type="external" connectionId="1"/>
  <cacheFields count="2">
    <cacheField name="[Table1].[Location].[Location]" caption="Location" numFmtId="0" hierarchy="3" level="1">
      <sharedItems count="5">
        <s v="Bangalore"/>
        <s v="Chennai"/>
        <s v="Delhi"/>
        <s v="Hyderabad"/>
        <s v="Mumbai"/>
      </sharedItems>
    </cacheField>
    <cacheField name="[Measures].[Sum of Is_Fraud]" caption="Sum of Is_Fraud" numFmtId="0" hierarchy="33" level="32767"/>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810054861111" backgroundQuery="1" createdVersion="8" refreshedVersion="8" minRefreshableVersion="3" recordCount="0" supportSubquery="1" supportAdvancedDrill="1" xr:uid="{33602434-39B6-4591-B381-692FE88FE00E}">
  <cacheSource type="external" connectionId="1"/>
  <cacheFields count="4">
    <cacheField name="[Measures].[Count of Transaction_ID]" caption="Count of Transaction_ID" numFmtId="0" hierarchy="35" level="32767"/>
    <cacheField name="[Measures].[Sum of Is_Fraud]" caption="Sum of Is_Fraud" numFmtId="0" hierarchy="33" level="32767"/>
    <cacheField name="[Table1].[Date2 (Month)].[Date2 (Month)]" caption="Date2 (Month)" numFmtId="0" hierarchy="14" level="1">
      <sharedItems count="2">
        <s v="Jan"/>
        <s v="Feb"/>
      </sharedItems>
    </cacheField>
    <cacheField name="[Table1].[Location].[Location]" caption="Location" numFmtId="0" hierarchy="3" level="1">
      <sharedItems containsSemiMixedTypes="0" containsNonDate="0" containsString="0"/>
    </cacheField>
  </cacheFields>
  <cacheHierarchies count="40">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2" memberValueDatatype="130" unbalanced="0">
      <fieldsUsage count="2">
        <fieldUsage x="-1"/>
        <fieldUsage x="2"/>
      </fieldsUsage>
    </cacheHierarchy>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5"/>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1.887105555557" backgroundQuery="1" createdVersion="3" refreshedVersion="8" minRefreshableVersion="3" recordCount="0" supportSubquery="1" supportAdvancedDrill="1" xr:uid="{2D841040-684A-4135-A9B8-823C17E6E515}">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Transaction_ID]" caption="Transaction_ID" attribute="1" defaultMemberUniqueName="[Table1].[Transaction_ID].[All]" allUniqueName="[Table1].[Transaction_ID].[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_Type]" caption="Transaction_Type" attribute="1" defaultMemberUniqueName="[Table1].[Transaction_Type].[All]" allUniqueName="[Table1].[Transaction_Typ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1].[Merchant_Category]" caption="Merchant_Category" attribute="1" defaultMemberUniqueName="[Table1].[Merchant_Category].[All]" allUniqueName="[Table1].[Merchant_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Is_Fraud]" caption="Is_Fraud" attribute="1" defaultMemberUniqueName="[Table1].[Is_Fraud].[All]" allUniqueName="[Table1].[Is_Fraud].[All]" dimensionUniqueName="[Table1]" displayFolder="" count="0" memberValueDatatype="20" unbalanced="0"/>
    <cacheHierarchy uniqueName="[Table1].[Amount_level]" caption="Amount_level" attribute="1" defaultMemberUniqueName="[Table1].[Amount_level].[All]" allUniqueName="[Table1].[Amount_level].[All]" dimensionUniqueName="[Table1]" displayFolder="" count="0" memberValueDatatype="130" unbalanced="0"/>
    <cacheHierarchy uniqueName="[Table1].[Fraud_Risk_Level]" caption="Fraud_Risk_Level" attribute="1" defaultMemberUniqueName="[Table1].[Fraud_Risk_Level].[All]" allUniqueName="[Table1].[Fraud_Risk_Level].[All]" dimensionUniqueName="[Table1]" displayFolder="" count="0"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0" memberValueDatatype="20" unbalanced="0"/>
    <cacheHierarchy uniqueName="[Table1].[Fraud_Score]" caption="Fraud_Score" attribute="1" defaultMemberUniqueName="[Table1].[Fraud_Score].[All]" allUniqueName="[Table1].[Fraud_Score].[All]" dimensionUniqueName="[Table1]" displayFolder="" count="0" memberValueDatatype="20" unbalanced="0"/>
    <cacheHierarchy uniqueName="[Table1].[Date2]" caption="Date2" attribute="1" time="1" defaultMemberUniqueName="[Table1].[Date2].[All]" allUniqueName="[Table1].[Date2].[All]" dimensionUniqueName="[Table1]" displayFolder="" count="0" memberValueDatatype="7" unbalanced="0"/>
    <cacheHierarchy uniqueName="[Table1].[Date2 (Month)]" caption="Date2 (Month)" attribute="1" defaultMemberUniqueName="[Table1].[Date2 (Month)].[All]" allUniqueName="[Table1].[Date2 (Month)].[All]" dimensionUniqueName="[Table1]" displayFolder="" count="0" memberValueDatatype="130" unbalanced="0"/>
    <cacheHierarchy uniqueName="[Table13].[Transaction_ID]" caption="Transaction_ID" attribute="1" defaultMemberUniqueName="[Table13].[Transaction_ID].[All]" allUniqueName="[Table13].[Transaction_ID].[All]" dimensionUniqueName="[Table13]" displayFolder="" count="0" memberValueDatatype="20" unbalanced="0"/>
    <cacheHierarchy uniqueName="[Table13].[Customer_ID]" caption="Customer_ID" attribute="1" defaultMemberUniqueName="[Table13].[Customer_ID].[All]" allUniqueName="[Table13].[Customer_ID].[All]" dimensionUniqueName="[Table13]" displayFolder="" count="0" memberValueDatatype="20" unbalanced="0"/>
    <cacheHierarchy uniqueName="[Table13].[Date]" caption="Date" attribute="1" defaultMemberUniqueName="[Table13].[Date].[All]" allUniqueName="[Table13].[Dat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Transaction_Type]" caption="Transaction_Type" attribute="1" defaultMemberUniqueName="[Table13].[Transaction_Type].[All]" allUniqueName="[Table13].[Transaction_Type].[All]" dimensionUniqueName="[Table13]" displayFolder="" count="0" memberValueDatatype="130" unbalanced="0"/>
    <cacheHierarchy uniqueName="[Table13].[Card_Type]" caption="Card_Type" attribute="1" defaultMemberUniqueName="[Table13].[Card_Type].[All]" allUniqueName="[Table13].[Card_Type].[All]" dimensionUniqueName="[Table13]" displayFolder="" count="0" memberValueDatatype="130" unbalanced="0"/>
    <cacheHierarchy uniqueName="[Table13].[Merchant_Category]" caption="Merchant_Category" attribute="1" defaultMemberUniqueName="[Table13].[Merchant_Category].[All]" allUniqueName="[Table13].[Merchant_Category].[All]" dimensionUniqueName="[Table13]" displayFolder="" count="0" memberValueDatatype="130" unbalanced="0"/>
    <cacheHierarchy uniqueName="[Table13].[Amount]" caption="Amount" attribute="1" defaultMemberUniqueName="[Table13].[Amount].[All]" allUniqueName="[Table13].[Amount].[All]" dimensionUniqueName="[Table13]" displayFolder="" count="0" memberValueDatatype="5" unbalanced="0"/>
    <cacheHierarchy uniqueName="[Table13].[Is_Fraud]" caption="Is_Fraud" attribute="1" defaultMemberUniqueName="[Table13].[Is_Fraud].[All]" allUniqueName="[Table13].[Is_Fraud].[All]" dimensionUniqueName="[Table13]" displayFolder="" count="0" memberValueDatatype="20" unbalanced="0"/>
    <cacheHierarchy uniqueName="[Table13].[Amount_level]" caption="Amount_level" attribute="1" defaultMemberUniqueName="[Table13].[Amount_level].[All]" allUniqueName="[Table13].[Amount_level].[All]" dimensionUniqueName="[Table13]" displayFolder="" count="0" memberValueDatatype="130" unbalanced="0"/>
    <cacheHierarchy uniqueName="[Table13].[Fraud_Risk_Level]" caption="Fraud_Risk_Level" attribute="1" defaultMemberUniqueName="[Table13].[Fraud_Risk_Level].[All]" allUniqueName="[Table13].[Fraud_Risk_Level].[All]" dimensionUniqueName="[Table13]" displayFolder="" count="0"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0" memberValueDatatype="20" unbalanced="0"/>
    <cacheHierarchy uniqueName="[Table13].[Fraud_Score]" caption="Fraud_Score" attribute="1" defaultMemberUniqueName="[Table13].[Fraud_Score].[All]" allUniqueName="[Table13].[Fraud_Score].[All]" dimensionUniqueName="[Table13]" displayFolder="" count="0" memberValueDatatype="20" unbalanced="0"/>
    <cacheHierarchy uniqueName="[Table13].[Date2]" caption="Date2" attribute="1" time="1" defaultMemberUniqueName="[Table13].[Date2].[All]" allUniqueName="[Table13].[Date2].[All]" dimensionUniqueName="[Table13]" displayFolder="" count="0" memberValueDatatype="7" unbalanced="0"/>
    <cacheHierarchy uniqueName="[Table1].[Date2 (Month Index)]" caption="Date2 (Month Index)" attribute="1" defaultMemberUniqueName="[Table1].[Date2 (Month Index)].[All]" allUniqueName="[Table1].[Date2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8"/>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0"/>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licerData="1" pivotCacheId="100101738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KHYA" refreshedDate="46102.797542129629" backgroundQuery="1" createdVersion="3" refreshedVersion="8" minRefreshableVersion="3" recordCount="0" supportSubquery="1" supportAdvancedDrill="1" xr:uid="{93438CDC-5ED0-4A79-BD73-76D0DD526243}">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Measures]" caption="Measures" attribute="1" keyAttribute="1" defaultMemberUniqueName="[Measures].[__No measures defined]" dimensionUniqueName="[Measures]" displayFolder="" measures="1" count="1" memberValueDatatype="130" unbalanced="0"/>
    <cacheHierarchy uniqueName="[Table1].[Transaction_ID]" caption="Transaction_ID" attribute="1" defaultMemberUniqueName="[Table1].[Transaction_ID].[All]" allUniqueName="[Table1].[Transaction_ID].[All]" dimensionUniqueName="[Table1]" displayFolder="" count="2" memberValueDatatype="20" unbalanced="0"/>
    <cacheHierarchy uniqueName="[Table1].[Customer_ID]" caption="Customer_ID" attribute="1" defaultMemberUniqueName="[Table1].[Customer_ID].[All]" allUniqueName="[Table1].[Customer_ID].[All]" dimensionUniqueName="[Table1]" displayFolder="" count="2" memberValueDatatype="20" unbalanced="0"/>
    <cacheHierarchy uniqueName="[Table1].[Date]" caption="Date" attribute="1" defaultMemberUniqueName="[Table1].[Date].[All]" allUniqueName="[Table1].[Dat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Transaction_Type]" caption="Transaction_Type" attribute="1" defaultMemberUniqueName="[Table1].[Transaction_Type].[All]" allUniqueName="[Table1].[Transaction_Type].[All]" dimensionUniqueName="[Table1]" displayFolder="" count="2" memberValueDatatype="130" unbalanced="0"/>
    <cacheHierarchy uniqueName="[Table1].[Card_Type]" caption="Card_Type" attribute="1" defaultMemberUniqueName="[Table1].[Card_Type].[All]" allUniqueName="[Table1].[Card_Type].[All]" dimensionUniqueName="[Table1]" displayFolder="" count="2" memberValueDatatype="130" unbalanced="0"/>
    <cacheHierarchy uniqueName="[Table1].[Merchant_Category]" caption="Merchant_Category" attribute="1" defaultMemberUniqueName="[Table1].[Merchant_Category].[All]" allUniqueName="[Table1].[Merchant_Category].[All]" dimensionUniqueName="[Table1]" displayFolder="" count="2" memberValueDatatype="130" unbalanced="0"/>
    <cacheHierarchy uniqueName="[Table1].[Amount]" caption="Amount" attribute="1" defaultMemberUniqueName="[Table1].[Amount].[All]" allUniqueName="[Table1].[Amount].[All]" dimensionUniqueName="[Table1]" displayFolder="" count="2" memberValueDatatype="5" unbalanced="0"/>
    <cacheHierarchy uniqueName="[Table1].[Is_Fraud]" caption="Is_Fraud" attribute="1" defaultMemberUniqueName="[Table1].[Is_Fraud].[All]" allUniqueName="[Table1].[Is_Fraud].[All]" dimensionUniqueName="[Table1]" displayFolder="" count="2" memberValueDatatype="20" unbalanced="0"/>
    <cacheHierarchy uniqueName="[Table1].[Amount_level]" caption="Amount_level" attribute="1" defaultMemberUniqueName="[Table1].[Amount_level].[All]" allUniqueName="[Table1].[Amount_level].[All]" dimensionUniqueName="[Table1]" displayFolder="" count="2" memberValueDatatype="130" unbalanced="0"/>
    <cacheHierarchy uniqueName="[Table1].[Fraud_Risk_Level]" caption="Fraud_Risk_Level" attribute="1" defaultMemberUniqueName="[Table1].[Fraud_Risk_Level].[All]" allUniqueName="[Table1].[Fraud_Risk_Level].[All]" dimensionUniqueName="[Table1]" displayFolder="" count="2" memberValueDatatype="130" unbalanced="0"/>
    <cacheHierarchy uniqueName="[Table1].[Daily_Transaction_count]" caption="Daily_Transaction_count" attribute="1" defaultMemberUniqueName="[Table1].[Daily_Transaction_count].[All]" allUniqueName="[Table1].[Daily_Transaction_count].[All]" dimensionUniqueName="[Table1]" displayFolder="" count="2" memberValueDatatype="20" unbalanced="0"/>
    <cacheHierarchy uniqueName="[Table1].[Fraud_Score]" caption="Fraud_Score" attribute="1" defaultMemberUniqueName="[Table1].[Fraud_Score].[All]" allUniqueName="[Table1].[Fraud_Score].[All]" dimensionUniqueName="[Table1]" displayFolder="" count="2" memberValueDatatype="20" unbalanced="0"/>
    <cacheHierarchy uniqueName="[Table1].[Date2]" caption="Date2" attribute="1" time="1" defaultMemberUniqueName="[Table1].[Date2].[All]" allUniqueName="[Table1].[Date2].[All]" dimensionUniqueName="[Table1]" displayFolder="" count="2" memberValueDatatype="7" unbalanced="0"/>
    <cacheHierarchy uniqueName="[Table1].[Date2 (Month)]" caption="Date2 (Month)" attribute="1" defaultMemberUniqueName="[Table1].[Date2 (Month)].[All]" allUniqueName="[Table1].[Date2 (Month)].[All]" dimensionUniqueName="[Table1]" displayFolder="" count="2" memberValueDatatype="130" unbalanced="0"/>
    <cacheHierarchy uniqueName="[Table13].[Transaction_ID]" caption="Transaction_ID" attribute="1" defaultMemberUniqueName="[Table13].[Transaction_ID].[All]" allUniqueName="[Table13].[Transaction_ID].[All]" dimensionUniqueName="[Table13]" displayFolder="" count="2" memberValueDatatype="20" unbalanced="0"/>
    <cacheHierarchy uniqueName="[Table13].[Customer_ID]" caption="Customer_ID" attribute="1" defaultMemberUniqueName="[Table13].[Customer_ID].[All]" allUniqueName="[Table13].[Customer_ID].[All]" dimensionUniqueName="[Table13]" displayFolder="" count="2" memberValueDatatype="20" unbalanced="0"/>
    <cacheHierarchy uniqueName="[Table13].[Date]" caption="Date" attribute="1" defaultMemberUniqueName="[Table13].[Date].[All]" allUniqueName="[Table13].[Date].[All]" dimensionUniqueName="[Table13]" displayFolder="" count="2" memberValueDatatype="130" unbalanced="0"/>
    <cacheHierarchy uniqueName="[Table13].[Location]" caption="Location" attribute="1" defaultMemberUniqueName="[Table13].[Location].[All]" allUniqueName="[Table13].[Location].[All]" dimensionUniqueName="[Table13]" displayFolder="" count="2" memberValueDatatype="130" unbalanced="0"/>
    <cacheHierarchy uniqueName="[Table13].[Transaction_Type]" caption="Transaction_Type" attribute="1" defaultMemberUniqueName="[Table13].[Transaction_Type].[All]" allUniqueName="[Table13].[Transaction_Type].[All]" dimensionUniqueName="[Table13]" displayFolder="" count="2" memberValueDatatype="130" unbalanced="0"/>
    <cacheHierarchy uniqueName="[Table13].[Card_Type]" caption="Card_Type" attribute="1" defaultMemberUniqueName="[Table13].[Card_Type].[All]" allUniqueName="[Table13].[Card_Type].[All]" dimensionUniqueName="[Table13]" displayFolder="" count="2" memberValueDatatype="130" unbalanced="0"/>
    <cacheHierarchy uniqueName="[Table13].[Merchant_Category]" caption="Merchant_Category" attribute="1" defaultMemberUniqueName="[Table13].[Merchant_Category].[All]" allUniqueName="[Table13].[Merchant_Category].[All]" dimensionUniqueName="[Table13]" displayFolder="" count="2" memberValueDatatype="130" unbalanced="0"/>
    <cacheHierarchy uniqueName="[Table13].[Amount]" caption="Amount" attribute="1" defaultMemberUniqueName="[Table13].[Amount].[All]" allUniqueName="[Table13].[Amount].[All]" dimensionUniqueName="[Table13]" displayFolder="" count="2" memberValueDatatype="5" unbalanced="0"/>
    <cacheHierarchy uniqueName="[Table13].[Is_Fraud]" caption="Is_Fraud" attribute="1" defaultMemberUniqueName="[Table13].[Is_Fraud].[All]" allUniqueName="[Table13].[Is_Fraud].[All]" dimensionUniqueName="[Table13]" displayFolder="" count="2" memberValueDatatype="20" unbalanced="0"/>
    <cacheHierarchy uniqueName="[Table13].[Amount_level]" caption="Amount_level" attribute="1" defaultMemberUniqueName="[Table13].[Amount_level].[All]" allUniqueName="[Table13].[Amount_level].[All]" dimensionUniqueName="[Table13]" displayFolder="" count="2" memberValueDatatype="130" unbalanced="0"/>
    <cacheHierarchy uniqueName="[Table13].[Fraud_Risk_Level]" caption="Fraud_Risk_Level" attribute="1" defaultMemberUniqueName="[Table13].[Fraud_Risk_Level].[All]" allUniqueName="[Table13].[Fraud_Risk_Level].[All]" dimensionUniqueName="[Table13]" displayFolder="" count="2" memberValueDatatype="130" unbalanced="0"/>
    <cacheHierarchy uniqueName="[Table13].[Daily_Transaction_count]" caption="Daily_Transaction_count" attribute="1" defaultMemberUniqueName="[Table13].[Daily_Transaction_count].[All]" allUniqueName="[Table13].[Daily_Transaction_count].[All]" dimensionUniqueName="[Table13]" displayFolder="" count="2" memberValueDatatype="20" unbalanced="0"/>
    <cacheHierarchy uniqueName="[Table13].[Fraud_Score]" caption="Fraud_Score" attribute="1" defaultMemberUniqueName="[Table13].[Fraud_Score].[All]" allUniqueName="[Table13].[Fraud_Score].[All]" dimensionUniqueName="[Table13]" displayFolder="" count="2" memberValueDatatype="20" unbalanced="0"/>
    <cacheHierarchy uniqueName="[Table13].[Date2]" caption="Date2" attribute="1" time="1" defaultMemberUniqueName="[Table13].[Date2].[All]" allUniqueName="[Table13].[Date2].[All]" dimensionUniqueName="[Table13]" displayFolder="" count="2" memberValueDatatype="7" unbalanced="0"/>
    <cacheHierarchy uniqueName="[Table1].[Date2 (Month Index)]" caption="Date2 (Month Index)" attribute="1" defaultMemberUniqueName="[Table1].[Date2 (Month Index)].[All]" allUniqueName="[Table1].[Date2 (Month Index)].[All]" dimensionUniqueName="[Table1]" displayFolder="" count="2" memberValueDatatype="20" unbalanced="0" hidden="1"/>
    <cacheHierarchy uniqueName="[Measures].[__XL_Count Table1]" caption="__XL_Count Table1" measure="1" displayFolder="" measureGroup="Table1" count="0" hidden="1"/>
    <cacheHierarchy uniqueName="[Measures].[__XL_Count Table13]" caption="__XL_Count Table13" measure="1" displayFolder="" measureGroup="Table13" count="0" hidden="1"/>
    <cacheHierarchy uniqueName="[Measures].[__No measures defined]" caption="__No measures defined" measure="1" displayFolder="" count="0" hidden="1"/>
    <cacheHierarchy uniqueName="[Measures].[Sum of Is_Fraud]" caption="Sum of Is_Fraud" measure="1" displayFolder="" measureGroup="Table1" count="0" hidden="1">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Table1" count="0" hidden="1">
      <extLst>
        <ext xmlns:x15="http://schemas.microsoft.com/office/spreadsheetml/2010/11/main" uri="{B97F6D7D-B522-45F9-BDA1-12C45D357490}">
          <x15:cacheHierarchy aggregatedColumn="1"/>
        </ext>
      </extLst>
    </cacheHierarchy>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y uniqueName="[Measures].[Count of Transaction_Type]" caption="Count of Transaction_Type" measure="1" displayFolder="" measureGroup="Table1" count="0" hidden="1">
      <extLst>
        <ext xmlns:x15="http://schemas.microsoft.com/office/spreadsheetml/2010/11/main" uri="{B97F6D7D-B522-45F9-BDA1-12C45D357490}">
          <x15:cacheHierarchy aggregatedColumn="5"/>
        </ext>
      </extLst>
    </cacheHierarchy>
    <cacheHierarchy uniqueName="[Measures].[Sum of Transaction_ID 2]" caption="Sum of Transaction_ID 2" measure="1" displayFolder="" measureGroup="Table13" count="0" hidden="1">
      <extLst>
        <ext xmlns:x15="http://schemas.microsoft.com/office/spreadsheetml/2010/11/main" uri="{B97F6D7D-B522-45F9-BDA1-12C45D357490}">
          <x15:cacheHierarchy aggregatedColumn="16"/>
        </ext>
      </extLst>
    </cacheHierarchy>
    <cacheHierarchy uniqueName="[Measures].[Count of Transaction_ID 2]" caption="Count of Transaction_ID 2" measure="1" displayFolder="" measureGroup="Table13" count="0" hidden="1">
      <extLst>
        <ext xmlns:x15="http://schemas.microsoft.com/office/spreadsheetml/2010/11/main" uri="{B97F6D7D-B522-45F9-BDA1-12C45D357490}">
          <x15:cacheHierarchy aggregatedColumn="16"/>
        </ext>
      </extLst>
    </cacheHierarchy>
    <cacheHierarchy uniqueName="[Measures].[Sum of Is_Fraud 2]" caption="Sum of Is_Fraud 2" measure="1" displayFolder="" measureGroup="Table13" count="0" hidden="1">
      <extLst>
        <ext xmlns:x15="http://schemas.microsoft.com/office/spreadsheetml/2010/11/main" uri="{B97F6D7D-B522-45F9-BDA1-12C45D357490}">
          <x15:cacheHierarchy aggregatedColumn="24"/>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pivotCacheId="10911263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EE891A-A4FF-4ED5-BFC5-181D117C1C22}" name="PivotTable9"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25:G2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Count of Transaction_ID" fld="0" subtotal="count" baseField="0" baseItem="0"/>
    <dataField name="Sum of Is_Fraud" fld="1"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09BE2-4248-460F-96C9-A055BA7FF7D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Transaction_I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C46D80-26B6-456F-A565-0443A8436711}"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7:B3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Is_Frau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F5EFBE-ABEF-43D4-9663-DACA04E3F93E}" name="PivotTable7" cacheId="8"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E7:F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Is_Fraud"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10C461-52BC-4175-A21C-3618A3E80A83}" name="PivotTable1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8:I9"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Transaction_ID" fld="0" subtotal="count" baseField="0" baseItem="0"/>
    <dataField name="Fraud transaction" fld="1" baseField="0" baseItem="1"/>
  </dataField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Transaction_ID"/>
    <pivotHierarchy dragToData="1" caption="Fraud transactio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3">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73457E-557A-4D46-ABA2-AC43B3B554EC}" name="PivotTable5"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is">
  <location ref="A20:D25"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Transaction_ID" fld="2" subtotal="count"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activeTabTopLevelEntity name="[Table1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B1D6D8-4EA2-49B0-A649-383CB505A391}" name="PivotTable8"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5:F2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Is_Fraud" fld="1" baseField="0" baseItem="0"/>
  </dataField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928397-BE07-4EC2-A889-432D4831153B}"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Transaction_ID" fld="0" subtotal="count" baseField="0" baseItem="0"/>
  </dataField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ransaction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5660B2-DD22-4B87-AC40-DDF67221F5D8}" name="PivotTable6"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2:F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Is_Fraud" fld="1"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B2544F-F49F-4728-8AF9-396D9675B6CD}" name="PivotTable3"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7:B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Is_Fraud"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113C01-E553-4249-9560-A69EF3F3BA30}" name="PivotTable4"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5:B1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Is_Fraud"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edit_Card_Fraud_Cleane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AECBC6E-6646-4AAE-815B-FDCB8EA607B3}" sourceName="[Table1].[Location]">
  <pivotTables>
    <pivotTable tabId="12" name="PivotTable2"/>
    <pivotTable tabId="12" name="PivotTable1"/>
    <pivotTable tabId="12" name="PivotTable10"/>
    <pivotTable tabId="12" name="PivotTable11"/>
    <pivotTable tabId="12" name="PivotTable3"/>
    <pivotTable tabId="12" name="PivotTable4"/>
    <pivotTable tabId="12" name="PivotTable5"/>
    <pivotTable tabId="12" name="PivotTable6"/>
    <pivotTable tabId="12" name="PivotTable7"/>
    <pivotTable tabId="12" name="PivotTable8"/>
    <pivotTable tabId="12" name="PivotTable9"/>
  </pivotTables>
  <data>
    <olap pivotCacheId="1001017385">
      <levels count="2">
        <level uniqueName="[Table1].[Location].[(All)]" sourceCaption="(All)" count="0"/>
        <level uniqueName="[Table1].[Location].[Location]" sourceCaption="Location" count="5">
          <ranges>
            <range startItem="0">
              <i n="[Table1].[Location].&amp;[Bangalore]" c="Bangalore"/>
              <i n="[Table1].[Location].&amp;[Chennai]" c="Chennai"/>
              <i n="[Table1].[Location].&amp;[Delhi]" c="Delhi"/>
              <i n="[Table1].[Location].&amp;[Hyderabad]" c="Hyderabad"/>
              <i n="[Table1].[Location].&amp;[Mumbai]" c="Mumbai"/>
            </range>
          </ranges>
        </level>
      </levels>
      <selections count="1">
        <selection n="[Table1].[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F33DD07F-E50C-4128-ADF7-2B1E4E266BB4}" cache="Slicer_Location" caption="Location" level="1"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37012D-96CC-4071-A907-0E531B5F9460}" name="Table1" displayName="Table1" ref="A1:N1001" totalsRowShown="0" headerRowDxfId="16" headerRowBorderDxfId="15" tableBorderDxfId="14">
  <autoFilter ref="A1:N1001" xr:uid="{5637012D-96CC-4071-A907-0E531B5F9460}"/>
  <sortState xmlns:xlrd2="http://schemas.microsoft.com/office/spreadsheetml/2017/richdata2" ref="A2:N1001">
    <sortCondition descending="1" ref="N1:N1001"/>
  </sortState>
  <tableColumns count="14">
    <tableColumn id="1" xr3:uid="{ADC68E80-B573-413C-ACF6-116DF03CB899}" name="Transaction_ID"/>
    <tableColumn id="2" xr3:uid="{DCFEE640-CFB8-4A86-BC16-C1318D8CF866}" name="Customer_ID"/>
    <tableColumn id="3" xr3:uid="{E78FCF03-E25A-494B-A355-0662D5F71A0E}" name="Date"/>
    <tableColumn id="4" xr3:uid="{CE409C4D-DF78-4F50-B171-3F16CFA60437}" name="Location"/>
    <tableColumn id="5" xr3:uid="{75549E5B-2154-424C-B6AB-276F6290FAAE}" name="Transaction_Type"/>
    <tableColumn id="6" xr3:uid="{3EC52C93-F2E3-444A-8040-CD32986DFADC}" name="Card_Type"/>
    <tableColumn id="7" xr3:uid="{A3D874DF-064F-4614-BE5E-E500149A0180}" name="Merchant_Category"/>
    <tableColumn id="8" xr3:uid="{3FBDF334-61D2-4A4E-B074-7B8F2A7B569A}" name="Amount"/>
    <tableColumn id="9" xr3:uid="{C82CC33E-A24C-4284-83A0-C2CB7E709D82}" name="Is_Fraud"/>
    <tableColumn id="10" xr3:uid="{2560F0E1-1035-47BB-A3C6-2AE130595D2F}" name="Amount_level" dataDxfId="13">
      <calculatedColumnFormula>IF(E2&gt;50000,"High","Normal")</calculatedColumnFormula>
    </tableColumn>
    <tableColumn id="11" xr3:uid="{9E8FAF08-1084-41BD-A4E5-63E2E1851F72}" name="Fraud_Risk_Level" dataDxfId="12">
      <calculatedColumnFormula>IF(AND(H2&gt;50000,E2="Online"),"High Risk","Normal")</calculatedColumnFormula>
    </tableColumn>
    <tableColumn id="12" xr3:uid="{73E56689-18A6-4072-A7D6-CBF364F0AC66}" name="Daily_Transaction_count" dataDxfId="11">
      <calculatedColumnFormula>COUNTIFS(C:C,C2,B:B,B2)</calculatedColumnFormula>
    </tableColumn>
    <tableColumn id="13" xr3:uid="{E73EFB98-309B-4AE1-9FEC-8330D483AD69}" name="Fraud_Score" dataDxfId="10">
      <calculatedColumnFormula>IF(E2&gt;50000,1,0) + IF(H2="Unusual",1,0) + IF(I2&gt;3,1,0)</calculatedColumnFormula>
    </tableColumn>
    <tableColumn id="14" xr3:uid="{FFE1A72E-1C10-42DD-9477-7459296BAA81}" name="Date2" dataDxfId="9">
      <calculatedColumnFormula>INT(C2)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87F8DE-C4BF-4A4E-8C5E-01C9CD4312BD}" name="Table13" displayName="Table13" ref="A1:N1001" totalsRowShown="0" headerRowDxfId="8" headerRowBorderDxfId="7" tableBorderDxfId="6">
  <autoFilter ref="A1:N1001" xr:uid="{8A87F8DE-C4BF-4A4E-8C5E-01C9CD4312BD}"/>
  <sortState xmlns:xlrd2="http://schemas.microsoft.com/office/spreadsheetml/2017/richdata2" ref="A2:N1001">
    <sortCondition descending="1" ref="N1:N1001"/>
  </sortState>
  <tableColumns count="14">
    <tableColumn id="1" xr3:uid="{D7EFD6B3-315A-4A64-B073-74E740F5E0BD}" name="Transaction_ID"/>
    <tableColumn id="2" xr3:uid="{AF501803-77B8-459F-8892-8A26A5934653}" name="Customer_ID"/>
    <tableColumn id="3" xr3:uid="{D0C5F4C9-0DF9-4DF2-904D-8B528F1597D7}" name="Date"/>
    <tableColumn id="4" xr3:uid="{A878BA10-7715-4A9F-A7F0-2CD21992B21F}" name="Location"/>
    <tableColumn id="5" xr3:uid="{DF8908A5-D48C-4F70-97F8-F3334963B1DD}" name="Transaction_Type"/>
    <tableColumn id="6" xr3:uid="{355AB909-713B-4B5F-9F61-F54ED00E7A15}" name="Card_Type"/>
    <tableColumn id="7" xr3:uid="{8DB633F4-94D5-471D-AAEC-E72A548B9BF2}" name="Merchant_Category"/>
    <tableColumn id="8" xr3:uid="{8BFB02B8-925B-40DC-8D3E-808C562E5F90}" name="Amount"/>
    <tableColumn id="9" xr3:uid="{0DC5413A-BB79-4580-AAF2-541E3528ABB5}" name="Is_Fraud"/>
    <tableColumn id="10" xr3:uid="{7003310C-394B-4622-8AFB-77BE5BF09962}" name="Amount_level" dataDxfId="5">
      <calculatedColumnFormula>IF(E2&gt;50000,"High","Normal")</calculatedColumnFormula>
    </tableColumn>
    <tableColumn id="11" xr3:uid="{76AA5A6E-FB89-4E90-8C3B-978EC820BE8D}" name="Fraud_Risk_Level" dataDxfId="4">
      <calculatedColumnFormula>IF(AND(H2&gt;50000,E2="Online"),"High Risk","Normal")</calculatedColumnFormula>
    </tableColumn>
    <tableColumn id="12" xr3:uid="{99CF541F-F2A9-4324-B344-9B5154C0AEFF}" name="Daily_Transaction_count" dataDxfId="3">
      <calculatedColumnFormula>COUNTIFS(C:C,C2,B:B,B2)</calculatedColumnFormula>
    </tableColumn>
    <tableColumn id="13" xr3:uid="{5B0B5EED-EA48-43E4-B2A0-41BB32B25431}" name="Fraud_Score" dataDxfId="2">
      <calculatedColumnFormula>IF(E2&gt;50000,1,0) + IF(H2="Unusual",1,0) + IF(I2&gt;3,1,0)</calculatedColumnFormula>
    </tableColumn>
    <tableColumn id="14" xr3:uid="{5AF760C6-D698-4035-937D-32F75772B66E}" name="Date2" dataDxfId="1">
      <calculatedColumnFormula>INT(C2)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2" xr10:uid="{DDBB4F76-4A7D-44A2-B1CA-D5DE9112B42E}" sourceName="[Table13].[Date2]">
  <pivotTables>
    <pivotTable tabId="12" name="PivotTable1"/>
    <pivotTable tabId="12" name="PivotTable10"/>
    <pivotTable tabId="12" name="PivotTable11"/>
    <pivotTable tabId="12" name="PivotTable2"/>
    <pivotTable tabId="12" name="PivotTable3"/>
    <pivotTable tabId="12" name="PivotTable4"/>
    <pivotTable tabId="12" name="PivotTable5"/>
    <pivotTable tabId="12" name="PivotTable6"/>
    <pivotTable tabId="12" name="PivotTable7"/>
    <pivotTable tabId="12" name="PivotTable8"/>
    <pivotTable tabId="12" name="PivotTable9"/>
  </pivotTables>
  <state minimalRefreshVersion="6" lastRefreshVersion="6" pivotCacheId="109112635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2" xr10:uid="{C4CA27FF-C547-4AA1-A27D-70713683F642}" cache="Timeline_Date2" caption="Date2" level="2" selectionLevel="2" scrollPosition="2025-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C1" workbookViewId="0">
      <selection activeCell="P13" sqref="P13"/>
    </sheetView>
  </sheetViews>
  <sheetFormatPr defaultRowHeight="14.4" x14ac:dyDescent="0.3"/>
  <cols>
    <col min="1" max="1" width="15.44140625" customWidth="1"/>
    <col min="2" max="2" width="13.77734375" customWidth="1"/>
    <col min="3" max="3" width="13.44140625" customWidth="1"/>
    <col min="4" max="4" width="10.109375" customWidth="1"/>
    <col min="5" max="5" width="17.77734375" customWidth="1"/>
    <col min="6" max="6" width="11.88671875" customWidth="1"/>
    <col min="7" max="7" width="19.6640625" customWidth="1"/>
    <col min="8" max="8" width="9.77734375" customWidth="1"/>
    <col min="9" max="9" width="10" customWidth="1"/>
    <col min="10" max="10" width="13.5546875" customWidth="1"/>
    <col min="11" max="11" width="13.109375" customWidth="1"/>
    <col min="12" max="12" width="22.5546875" customWidth="1"/>
    <col min="13" max="13" width="14.109375" customWidth="1"/>
    <col min="14" max="14" width="25.21875" style="6" bestFit="1" customWidth="1"/>
  </cols>
  <sheetData>
    <row r="1" spans="1:16" x14ac:dyDescent="0.3">
      <c r="A1" s="1" t="s">
        <v>0</v>
      </c>
      <c r="B1" s="1" t="s">
        <v>1</v>
      </c>
      <c r="C1" s="1" t="s">
        <v>2</v>
      </c>
      <c r="D1" s="1" t="s">
        <v>3</v>
      </c>
      <c r="E1" s="1" t="s">
        <v>4</v>
      </c>
      <c r="F1" s="1" t="s">
        <v>5</v>
      </c>
      <c r="G1" s="1" t="s">
        <v>6</v>
      </c>
      <c r="H1" s="1" t="s">
        <v>7</v>
      </c>
      <c r="I1" s="1" t="s">
        <v>8</v>
      </c>
      <c r="J1" s="2" t="s">
        <v>1027</v>
      </c>
      <c r="K1" s="2" t="s">
        <v>1024</v>
      </c>
      <c r="L1" s="2" t="s">
        <v>1025</v>
      </c>
      <c r="M1" s="2" t="s">
        <v>1026</v>
      </c>
      <c r="N1" s="5" t="s">
        <v>1034</v>
      </c>
    </row>
    <row r="2" spans="1:16" x14ac:dyDescent="0.3">
      <c r="A2">
        <v>985</v>
      </c>
      <c r="B2">
        <v>10056</v>
      </c>
      <c r="C2" t="s">
        <v>1008</v>
      </c>
      <c r="D2" t="s">
        <v>15</v>
      </c>
      <c r="E2" t="s">
        <v>11</v>
      </c>
      <c r="F2" t="s">
        <v>17</v>
      </c>
      <c r="G2" t="s">
        <v>13</v>
      </c>
      <c r="H2">
        <v>90286.1</v>
      </c>
      <c r="I2">
        <v>1</v>
      </c>
      <c r="J2" t="str">
        <f t="shared" ref="J2:J65" si="0">IF(E2&gt;50000,"High","Normal")</f>
        <v>High</v>
      </c>
      <c r="K2" t="str">
        <f t="shared" ref="K2:K65" si="1">IF(AND(H2&gt;50000,E2="Online"),"High Risk","Normal")</f>
        <v>High Risk</v>
      </c>
      <c r="L2">
        <f>COUNTIFS(C:C,C2,B:B,B2)</f>
        <v>1</v>
      </c>
      <c r="M2">
        <f t="shared" ref="M2:M65" si="2">IF(E2&gt;50000,1,0) + IF(H2="Unusual",1,0) + IF(I2&gt;3,1,0)</f>
        <v>1</v>
      </c>
      <c r="N2" s="6">
        <f t="shared" ref="N2:N65" si="3">INT(C2)</f>
        <v>45699</v>
      </c>
      <c r="O2">
        <f>COUNTA(A:A)-1</f>
        <v>1000</v>
      </c>
      <c r="P2" t="s">
        <v>1031</v>
      </c>
    </row>
    <row r="3" spans="1:16" x14ac:dyDescent="0.3">
      <c r="A3">
        <v>986</v>
      </c>
      <c r="B3">
        <v>10016</v>
      </c>
      <c r="C3" t="s">
        <v>1009</v>
      </c>
      <c r="D3" t="s">
        <v>23</v>
      </c>
      <c r="E3" t="s">
        <v>24</v>
      </c>
      <c r="F3" t="s">
        <v>17</v>
      </c>
      <c r="G3" t="s">
        <v>18</v>
      </c>
      <c r="H3">
        <v>52537.51</v>
      </c>
      <c r="I3">
        <v>0</v>
      </c>
      <c r="J3" t="str">
        <f t="shared" si="0"/>
        <v>High</v>
      </c>
      <c r="K3" t="str">
        <f t="shared" si="1"/>
        <v>Normal</v>
      </c>
      <c r="L3">
        <f t="shared" ref="L3:L65" si="4">COUNTIFS(C:C,C3,B:B,B3)</f>
        <v>1</v>
      </c>
      <c r="M3">
        <f t="shared" si="2"/>
        <v>1</v>
      </c>
      <c r="N3" s="6">
        <f t="shared" si="3"/>
        <v>45699</v>
      </c>
    </row>
    <row r="4" spans="1:16" x14ac:dyDescent="0.3">
      <c r="A4">
        <v>987</v>
      </c>
      <c r="B4">
        <v>10085</v>
      </c>
      <c r="C4" t="s">
        <v>1010</v>
      </c>
      <c r="D4" t="s">
        <v>10</v>
      </c>
      <c r="E4" t="s">
        <v>24</v>
      </c>
      <c r="F4" t="s">
        <v>12</v>
      </c>
      <c r="G4" t="s">
        <v>18</v>
      </c>
      <c r="H4">
        <v>45174.2</v>
      </c>
      <c r="I4">
        <v>0</v>
      </c>
      <c r="J4" t="str">
        <f t="shared" si="0"/>
        <v>High</v>
      </c>
      <c r="K4" t="str">
        <f t="shared" si="1"/>
        <v>Normal</v>
      </c>
      <c r="L4">
        <f t="shared" si="4"/>
        <v>1</v>
      </c>
      <c r="M4">
        <f t="shared" si="2"/>
        <v>1</v>
      </c>
      <c r="N4" s="6">
        <f t="shared" si="3"/>
        <v>45699</v>
      </c>
      <c r="O4">
        <f>COUNTIF(I:I,1)</f>
        <v>164</v>
      </c>
      <c r="P4" t="s">
        <v>1032</v>
      </c>
    </row>
    <row r="5" spans="1:16" x14ac:dyDescent="0.3">
      <c r="A5">
        <v>988</v>
      </c>
      <c r="B5">
        <v>10089</v>
      </c>
      <c r="C5" t="s">
        <v>1011</v>
      </c>
      <c r="D5" t="s">
        <v>20</v>
      </c>
      <c r="E5" t="s">
        <v>24</v>
      </c>
      <c r="F5" t="s">
        <v>12</v>
      </c>
      <c r="G5" t="s">
        <v>25</v>
      </c>
      <c r="H5">
        <v>33106.11</v>
      </c>
      <c r="I5">
        <v>0</v>
      </c>
      <c r="J5" t="str">
        <f t="shared" si="0"/>
        <v>High</v>
      </c>
      <c r="K5" t="str">
        <f t="shared" si="1"/>
        <v>Normal</v>
      </c>
      <c r="L5">
        <f t="shared" si="4"/>
        <v>1</v>
      </c>
      <c r="M5">
        <f t="shared" si="2"/>
        <v>1</v>
      </c>
      <c r="N5" s="6">
        <f t="shared" si="3"/>
        <v>45699</v>
      </c>
    </row>
    <row r="6" spans="1:16" x14ac:dyDescent="0.3">
      <c r="A6">
        <v>989</v>
      </c>
      <c r="B6">
        <v>10043</v>
      </c>
      <c r="C6" t="s">
        <v>1012</v>
      </c>
      <c r="D6" t="s">
        <v>20</v>
      </c>
      <c r="E6" t="s">
        <v>24</v>
      </c>
      <c r="F6" t="s">
        <v>12</v>
      </c>
      <c r="G6" t="s">
        <v>25</v>
      </c>
      <c r="H6">
        <v>58962.54</v>
      </c>
      <c r="I6">
        <v>0</v>
      </c>
      <c r="J6" t="str">
        <f t="shared" si="0"/>
        <v>High</v>
      </c>
      <c r="K6" t="str">
        <f t="shared" si="1"/>
        <v>Normal</v>
      </c>
      <c r="L6">
        <f t="shared" si="4"/>
        <v>1</v>
      </c>
      <c r="M6">
        <f t="shared" si="2"/>
        <v>1</v>
      </c>
      <c r="N6" s="6">
        <f t="shared" si="3"/>
        <v>45699</v>
      </c>
      <c r="O6">
        <f>COUNTIF(I:I,1)/COUNTA(A:A)</f>
        <v>0.16383616383616384</v>
      </c>
      <c r="P6" t="s">
        <v>1033</v>
      </c>
    </row>
    <row r="7" spans="1:16" x14ac:dyDescent="0.3">
      <c r="A7">
        <v>990</v>
      </c>
      <c r="B7">
        <v>10024</v>
      </c>
      <c r="C7" t="s">
        <v>1013</v>
      </c>
      <c r="D7" t="s">
        <v>29</v>
      </c>
      <c r="E7" t="s">
        <v>16</v>
      </c>
      <c r="F7" t="s">
        <v>12</v>
      </c>
      <c r="G7" t="s">
        <v>13</v>
      </c>
      <c r="H7">
        <v>45482.41</v>
      </c>
      <c r="I7">
        <v>0</v>
      </c>
      <c r="J7" t="str">
        <f t="shared" si="0"/>
        <v>High</v>
      </c>
      <c r="K7" t="str">
        <f t="shared" si="1"/>
        <v>Normal</v>
      </c>
      <c r="L7">
        <f t="shared" si="4"/>
        <v>1</v>
      </c>
      <c r="M7">
        <f t="shared" si="2"/>
        <v>1</v>
      </c>
      <c r="N7" s="6">
        <f t="shared" si="3"/>
        <v>45699</v>
      </c>
    </row>
    <row r="8" spans="1:16" x14ac:dyDescent="0.3">
      <c r="A8">
        <v>991</v>
      </c>
      <c r="B8">
        <v>10016</v>
      </c>
      <c r="C8" t="s">
        <v>1014</v>
      </c>
      <c r="D8" t="s">
        <v>20</v>
      </c>
      <c r="E8" t="s">
        <v>11</v>
      </c>
      <c r="F8" t="s">
        <v>12</v>
      </c>
      <c r="G8" t="s">
        <v>21</v>
      </c>
      <c r="H8">
        <v>45211.4</v>
      </c>
      <c r="I8">
        <v>0</v>
      </c>
      <c r="J8" t="str">
        <f t="shared" si="0"/>
        <v>High</v>
      </c>
      <c r="K8" t="str">
        <f t="shared" si="1"/>
        <v>Normal</v>
      </c>
      <c r="L8">
        <f t="shared" si="4"/>
        <v>1</v>
      </c>
      <c r="M8">
        <f t="shared" si="2"/>
        <v>1</v>
      </c>
      <c r="N8" s="6">
        <f t="shared" si="3"/>
        <v>45699</v>
      </c>
    </row>
    <row r="9" spans="1:16" x14ac:dyDescent="0.3">
      <c r="A9">
        <v>992</v>
      </c>
      <c r="B9">
        <v>10012</v>
      </c>
      <c r="C9" t="s">
        <v>1015</v>
      </c>
      <c r="D9" t="s">
        <v>10</v>
      </c>
      <c r="E9" t="s">
        <v>16</v>
      </c>
      <c r="F9" t="s">
        <v>17</v>
      </c>
      <c r="G9" t="s">
        <v>18</v>
      </c>
      <c r="H9">
        <v>93699.09</v>
      </c>
      <c r="I9">
        <v>0</v>
      </c>
      <c r="J9" t="str">
        <f t="shared" si="0"/>
        <v>High</v>
      </c>
      <c r="K9" t="str">
        <f t="shared" si="1"/>
        <v>Normal</v>
      </c>
      <c r="L9">
        <f t="shared" si="4"/>
        <v>1</v>
      </c>
      <c r="M9">
        <f t="shared" si="2"/>
        <v>1</v>
      </c>
      <c r="N9" s="6">
        <f t="shared" si="3"/>
        <v>45699</v>
      </c>
      <c r="P9">
        <f>COUNTIF(J:J,"High Risk")</f>
        <v>0</v>
      </c>
    </row>
    <row r="10" spans="1:16" x14ac:dyDescent="0.3">
      <c r="A10">
        <v>993</v>
      </c>
      <c r="B10">
        <v>10083</v>
      </c>
      <c r="C10" t="s">
        <v>1016</v>
      </c>
      <c r="D10" t="s">
        <v>10</v>
      </c>
      <c r="E10" t="s">
        <v>24</v>
      </c>
      <c r="F10" t="s">
        <v>17</v>
      </c>
      <c r="G10" t="s">
        <v>13</v>
      </c>
      <c r="H10">
        <v>98404.75</v>
      </c>
      <c r="I10">
        <v>0</v>
      </c>
      <c r="J10" t="str">
        <f t="shared" si="0"/>
        <v>High</v>
      </c>
      <c r="K10" t="str">
        <f t="shared" si="1"/>
        <v>Normal</v>
      </c>
      <c r="L10">
        <f t="shared" si="4"/>
        <v>1</v>
      </c>
      <c r="M10">
        <f t="shared" si="2"/>
        <v>1</v>
      </c>
      <c r="N10" s="6">
        <f t="shared" si="3"/>
        <v>45699</v>
      </c>
    </row>
    <row r="11" spans="1:16" x14ac:dyDescent="0.3">
      <c r="A11">
        <v>994</v>
      </c>
      <c r="B11">
        <v>10024</v>
      </c>
      <c r="C11" t="s">
        <v>1017</v>
      </c>
      <c r="D11" t="s">
        <v>20</v>
      </c>
      <c r="E11" t="s">
        <v>16</v>
      </c>
      <c r="F11" t="s">
        <v>17</v>
      </c>
      <c r="G11" t="s">
        <v>31</v>
      </c>
      <c r="H11">
        <v>79668.789999999994</v>
      </c>
      <c r="I11">
        <v>0</v>
      </c>
      <c r="J11" t="str">
        <f t="shared" si="0"/>
        <v>High</v>
      </c>
      <c r="K11" t="str">
        <f t="shared" si="1"/>
        <v>Normal</v>
      </c>
      <c r="L11">
        <f t="shared" si="4"/>
        <v>1</v>
      </c>
      <c r="M11">
        <f t="shared" si="2"/>
        <v>1</v>
      </c>
      <c r="N11" s="6">
        <f t="shared" si="3"/>
        <v>45699</v>
      </c>
      <c r="P11">
        <f>AVERAGE(H:H)</f>
        <v>49289.302460000028</v>
      </c>
    </row>
    <row r="12" spans="1:16" x14ac:dyDescent="0.3">
      <c r="A12">
        <v>995</v>
      </c>
      <c r="B12">
        <v>10067</v>
      </c>
      <c r="C12" t="s">
        <v>1018</v>
      </c>
      <c r="D12" t="s">
        <v>10</v>
      </c>
      <c r="E12" t="s">
        <v>11</v>
      </c>
      <c r="F12" t="s">
        <v>17</v>
      </c>
      <c r="G12" t="s">
        <v>31</v>
      </c>
      <c r="H12">
        <v>75700.13</v>
      </c>
      <c r="I12">
        <v>1</v>
      </c>
      <c r="J12" t="str">
        <f t="shared" si="0"/>
        <v>High</v>
      </c>
      <c r="K12" t="str">
        <f t="shared" si="1"/>
        <v>High Risk</v>
      </c>
      <c r="L12">
        <f t="shared" si="4"/>
        <v>1</v>
      </c>
      <c r="M12">
        <f t="shared" si="2"/>
        <v>1</v>
      </c>
      <c r="N12" s="6">
        <f t="shared" si="3"/>
        <v>45699</v>
      </c>
    </row>
    <row r="13" spans="1:16" x14ac:dyDescent="0.3">
      <c r="A13">
        <v>996</v>
      </c>
      <c r="B13">
        <v>10009</v>
      </c>
      <c r="C13" t="s">
        <v>1019</v>
      </c>
      <c r="D13" t="s">
        <v>29</v>
      </c>
      <c r="E13" t="s">
        <v>16</v>
      </c>
      <c r="F13" t="s">
        <v>17</v>
      </c>
      <c r="G13" t="s">
        <v>13</v>
      </c>
      <c r="H13">
        <v>68087.759999999995</v>
      </c>
      <c r="I13">
        <v>0</v>
      </c>
      <c r="J13" t="str">
        <f t="shared" si="0"/>
        <v>High</v>
      </c>
      <c r="K13" t="str">
        <f t="shared" si="1"/>
        <v>Normal</v>
      </c>
      <c r="L13">
        <f t="shared" si="4"/>
        <v>1</v>
      </c>
      <c r="M13">
        <f t="shared" si="2"/>
        <v>1</v>
      </c>
      <c r="N13" s="6">
        <f t="shared" si="3"/>
        <v>45699</v>
      </c>
      <c r="P13">
        <f>SUMIF(I:I,1,H:H)/SUM(H:H)</f>
        <v>0.24615161514704045</v>
      </c>
    </row>
    <row r="14" spans="1:16" x14ac:dyDescent="0.3">
      <c r="A14">
        <v>997</v>
      </c>
      <c r="B14">
        <v>10066</v>
      </c>
      <c r="C14" t="s">
        <v>1020</v>
      </c>
      <c r="D14" t="s">
        <v>15</v>
      </c>
      <c r="E14" t="s">
        <v>11</v>
      </c>
      <c r="F14" t="s">
        <v>12</v>
      </c>
      <c r="G14" t="s">
        <v>18</v>
      </c>
      <c r="H14">
        <v>16690.88</v>
      </c>
      <c r="I14">
        <v>0</v>
      </c>
      <c r="J14" t="str">
        <f t="shared" si="0"/>
        <v>High</v>
      </c>
      <c r="K14" t="str">
        <f t="shared" si="1"/>
        <v>Normal</v>
      </c>
      <c r="L14">
        <f t="shared" si="4"/>
        <v>1</v>
      </c>
      <c r="M14">
        <f t="shared" si="2"/>
        <v>1</v>
      </c>
      <c r="N14" s="6">
        <f t="shared" si="3"/>
        <v>45699</v>
      </c>
    </row>
    <row r="15" spans="1:16" x14ac:dyDescent="0.3">
      <c r="A15">
        <v>998</v>
      </c>
      <c r="B15">
        <v>10017</v>
      </c>
      <c r="C15" t="s">
        <v>1021</v>
      </c>
      <c r="D15" t="s">
        <v>29</v>
      </c>
      <c r="E15" t="s">
        <v>16</v>
      </c>
      <c r="F15" t="s">
        <v>12</v>
      </c>
      <c r="G15" t="s">
        <v>13</v>
      </c>
      <c r="H15">
        <v>6004.67</v>
      </c>
      <c r="I15">
        <v>0</v>
      </c>
      <c r="J15" t="str">
        <f t="shared" si="0"/>
        <v>High</v>
      </c>
      <c r="K15" t="str">
        <f t="shared" si="1"/>
        <v>Normal</v>
      </c>
      <c r="L15">
        <f t="shared" si="4"/>
        <v>1</v>
      </c>
      <c r="M15">
        <f t="shared" si="2"/>
        <v>1</v>
      </c>
      <c r="N15" s="6">
        <f t="shared" si="3"/>
        <v>45699</v>
      </c>
    </row>
    <row r="16" spans="1:16" x14ac:dyDescent="0.3">
      <c r="A16">
        <v>999</v>
      </c>
      <c r="B16">
        <v>10099</v>
      </c>
      <c r="C16" t="s">
        <v>1022</v>
      </c>
      <c r="D16" t="s">
        <v>29</v>
      </c>
      <c r="E16" t="s">
        <v>11</v>
      </c>
      <c r="F16" t="s">
        <v>12</v>
      </c>
      <c r="G16" t="s">
        <v>18</v>
      </c>
      <c r="H16">
        <v>69103.56</v>
      </c>
      <c r="I16">
        <v>1</v>
      </c>
      <c r="J16" t="str">
        <f t="shared" si="0"/>
        <v>High</v>
      </c>
      <c r="K16" t="str">
        <f t="shared" si="1"/>
        <v>High Risk</v>
      </c>
      <c r="L16">
        <f t="shared" si="4"/>
        <v>1</v>
      </c>
      <c r="M16">
        <f t="shared" si="2"/>
        <v>1</v>
      </c>
      <c r="N16" s="6">
        <f t="shared" si="3"/>
        <v>45699</v>
      </c>
    </row>
    <row r="17" spans="1:14" x14ac:dyDescent="0.3">
      <c r="A17">
        <v>1000</v>
      </c>
      <c r="B17">
        <v>10085</v>
      </c>
      <c r="C17" t="s">
        <v>1023</v>
      </c>
      <c r="D17" t="s">
        <v>10</v>
      </c>
      <c r="E17" t="s">
        <v>11</v>
      </c>
      <c r="F17" t="s">
        <v>12</v>
      </c>
      <c r="G17" t="s">
        <v>25</v>
      </c>
      <c r="H17">
        <v>72905.740000000005</v>
      </c>
      <c r="I17">
        <v>1</v>
      </c>
      <c r="J17" t="str">
        <f t="shared" si="0"/>
        <v>High</v>
      </c>
      <c r="K17" t="str">
        <f t="shared" si="1"/>
        <v>High Risk</v>
      </c>
      <c r="L17">
        <f t="shared" si="4"/>
        <v>1</v>
      </c>
      <c r="M17">
        <f t="shared" si="2"/>
        <v>1</v>
      </c>
      <c r="N17" s="6">
        <f t="shared" si="3"/>
        <v>45699</v>
      </c>
    </row>
    <row r="18" spans="1:14" x14ac:dyDescent="0.3">
      <c r="A18">
        <v>961</v>
      </c>
      <c r="B18">
        <v>10085</v>
      </c>
      <c r="C18" t="s">
        <v>984</v>
      </c>
      <c r="D18" t="s">
        <v>29</v>
      </c>
      <c r="E18" t="s">
        <v>11</v>
      </c>
      <c r="F18" t="s">
        <v>17</v>
      </c>
      <c r="G18" t="s">
        <v>18</v>
      </c>
      <c r="H18">
        <v>62570.46</v>
      </c>
      <c r="I18">
        <v>1</v>
      </c>
      <c r="J18" t="str">
        <f t="shared" si="0"/>
        <v>High</v>
      </c>
      <c r="K18" t="str">
        <f t="shared" si="1"/>
        <v>High Risk</v>
      </c>
      <c r="L18">
        <f t="shared" si="4"/>
        <v>1</v>
      </c>
      <c r="M18">
        <f t="shared" si="2"/>
        <v>1</v>
      </c>
      <c r="N18" s="6">
        <f t="shared" si="3"/>
        <v>45698</v>
      </c>
    </row>
    <row r="19" spans="1:14" x14ac:dyDescent="0.3">
      <c r="A19">
        <v>962</v>
      </c>
      <c r="B19">
        <v>10013</v>
      </c>
      <c r="C19" t="s">
        <v>985</v>
      </c>
      <c r="D19" t="s">
        <v>20</v>
      </c>
      <c r="E19" t="s">
        <v>11</v>
      </c>
      <c r="F19" t="s">
        <v>12</v>
      </c>
      <c r="G19" t="s">
        <v>25</v>
      </c>
      <c r="H19">
        <v>1332.87</v>
      </c>
      <c r="I19">
        <v>0</v>
      </c>
      <c r="J19" t="str">
        <f t="shared" si="0"/>
        <v>High</v>
      </c>
      <c r="K19" t="str">
        <f t="shared" si="1"/>
        <v>Normal</v>
      </c>
      <c r="L19">
        <f t="shared" si="4"/>
        <v>1</v>
      </c>
      <c r="M19">
        <f t="shared" si="2"/>
        <v>1</v>
      </c>
      <c r="N19" s="6">
        <f t="shared" si="3"/>
        <v>45698</v>
      </c>
    </row>
    <row r="20" spans="1:14" x14ac:dyDescent="0.3">
      <c r="A20">
        <v>963</v>
      </c>
      <c r="B20">
        <v>10089</v>
      </c>
      <c r="C20" t="s">
        <v>986</v>
      </c>
      <c r="D20" t="s">
        <v>10</v>
      </c>
      <c r="E20" t="s">
        <v>16</v>
      </c>
      <c r="F20" t="s">
        <v>12</v>
      </c>
      <c r="G20" t="s">
        <v>18</v>
      </c>
      <c r="H20">
        <v>14381.79</v>
      </c>
      <c r="I20">
        <v>0</v>
      </c>
      <c r="J20" t="str">
        <f t="shared" si="0"/>
        <v>High</v>
      </c>
      <c r="K20" t="str">
        <f t="shared" si="1"/>
        <v>Normal</v>
      </c>
      <c r="L20">
        <f t="shared" si="4"/>
        <v>1</v>
      </c>
      <c r="M20">
        <f t="shared" si="2"/>
        <v>1</v>
      </c>
      <c r="N20" s="6">
        <f t="shared" si="3"/>
        <v>45698</v>
      </c>
    </row>
    <row r="21" spans="1:14" x14ac:dyDescent="0.3">
      <c r="A21">
        <v>964</v>
      </c>
      <c r="B21">
        <v>10027</v>
      </c>
      <c r="C21" t="s">
        <v>987</v>
      </c>
      <c r="D21" t="s">
        <v>29</v>
      </c>
      <c r="E21" t="s">
        <v>11</v>
      </c>
      <c r="F21" t="s">
        <v>12</v>
      </c>
      <c r="G21" t="s">
        <v>13</v>
      </c>
      <c r="H21">
        <v>74255.12</v>
      </c>
      <c r="I21">
        <v>1</v>
      </c>
      <c r="J21" t="str">
        <f t="shared" si="0"/>
        <v>High</v>
      </c>
      <c r="K21" t="str">
        <f t="shared" si="1"/>
        <v>High Risk</v>
      </c>
      <c r="L21">
        <f t="shared" si="4"/>
        <v>1</v>
      </c>
      <c r="M21">
        <f t="shared" si="2"/>
        <v>1</v>
      </c>
      <c r="N21" s="6">
        <f t="shared" si="3"/>
        <v>45698</v>
      </c>
    </row>
    <row r="22" spans="1:14" x14ac:dyDescent="0.3">
      <c r="A22">
        <v>965</v>
      </c>
      <c r="B22">
        <v>10086</v>
      </c>
      <c r="C22" t="s">
        <v>988</v>
      </c>
      <c r="D22" t="s">
        <v>15</v>
      </c>
      <c r="E22" t="s">
        <v>16</v>
      </c>
      <c r="F22" t="s">
        <v>12</v>
      </c>
      <c r="G22" t="s">
        <v>31</v>
      </c>
      <c r="H22">
        <v>24491.74</v>
      </c>
      <c r="I22">
        <v>0</v>
      </c>
      <c r="J22" t="str">
        <f t="shared" si="0"/>
        <v>High</v>
      </c>
      <c r="K22" t="str">
        <f t="shared" si="1"/>
        <v>Normal</v>
      </c>
      <c r="L22">
        <f t="shared" si="4"/>
        <v>1</v>
      </c>
      <c r="M22">
        <f t="shared" si="2"/>
        <v>1</v>
      </c>
      <c r="N22" s="6">
        <f t="shared" si="3"/>
        <v>45698</v>
      </c>
    </row>
    <row r="23" spans="1:14" x14ac:dyDescent="0.3">
      <c r="A23">
        <v>966</v>
      </c>
      <c r="B23">
        <v>10077</v>
      </c>
      <c r="C23" t="s">
        <v>989</v>
      </c>
      <c r="D23" t="s">
        <v>23</v>
      </c>
      <c r="E23" t="s">
        <v>16</v>
      </c>
      <c r="F23" t="s">
        <v>12</v>
      </c>
      <c r="G23" t="s">
        <v>25</v>
      </c>
      <c r="H23">
        <v>59841.11</v>
      </c>
      <c r="I23">
        <v>0</v>
      </c>
      <c r="J23" t="str">
        <f t="shared" si="0"/>
        <v>High</v>
      </c>
      <c r="K23" t="str">
        <f t="shared" si="1"/>
        <v>Normal</v>
      </c>
      <c r="L23">
        <f t="shared" si="4"/>
        <v>1</v>
      </c>
      <c r="M23">
        <f t="shared" si="2"/>
        <v>1</v>
      </c>
      <c r="N23" s="6">
        <f t="shared" si="3"/>
        <v>45698</v>
      </c>
    </row>
    <row r="24" spans="1:14" x14ac:dyDescent="0.3">
      <c r="A24">
        <v>967</v>
      </c>
      <c r="B24">
        <v>10087</v>
      </c>
      <c r="C24" t="s">
        <v>990</v>
      </c>
      <c r="D24" t="s">
        <v>29</v>
      </c>
      <c r="E24" t="s">
        <v>24</v>
      </c>
      <c r="F24" t="s">
        <v>17</v>
      </c>
      <c r="G24" t="s">
        <v>18</v>
      </c>
      <c r="H24">
        <v>38571.75</v>
      </c>
      <c r="I24">
        <v>0</v>
      </c>
      <c r="J24" t="str">
        <f t="shared" si="0"/>
        <v>High</v>
      </c>
      <c r="K24" t="str">
        <f t="shared" si="1"/>
        <v>Normal</v>
      </c>
      <c r="L24">
        <f t="shared" si="4"/>
        <v>1</v>
      </c>
      <c r="M24">
        <f t="shared" si="2"/>
        <v>1</v>
      </c>
      <c r="N24" s="6">
        <f t="shared" si="3"/>
        <v>45698</v>
      </c>
    </row>
    <row r="25" spans="1:14" x14ac:dyDescent="0.3">
      <c r="A25">
        <v>968</v>
      </c>
      <c r="B25">
        <v>10001</v>
      </c>
      <c r="C25" t="s">
        <v>991</v>
      </c>
      <c r="D25" t="s">
        <v>29</v>
      </c>
      <c r="E25" t="s">
        <v>24</v>
      </c>
      <c r="F25" t="s">
        <v>17</v>
      </c>
      <c r="G25" t="s">
        <v>31</v>
      </c>
      <c r="H25">
        <v>85495.1</v>
      </c>
      <c r="I25">
        <v>0</v>
      </c>
      <c r="J25" t="str">
        <f t="shared" si="0"/>
        <v>High</v>
      </c>
      <c r="K25" t="str">
        <f t="shared" si="1"/>
        <v>Normal</v>
      </c>
      <c r="L25">
        <f t="shared" si="4"/>
        <v>1</v>
      </c>
      <c r="M25">
        <f t="shared" si="2"/>
        <v>1</v>
      </c>
      <c r="N25" s="6">
        <f t="shared" si="3"/>
        <v>45698</v>
      </c>
    </row>
    <row r="26" spans="1:14" x14ac:dyDescent="0.3">
      <c r="A26">
        <v>969</v>
      </c>
      <c r="B26">
        <v>10025</v>
      </c>
      <c r="C26" t="s">
        <v>992</v>
      </c>
      <c r="D26" t="s">
        <v>23</v>
      </c>
      <c r="E26" t="s">
        <v>24</v>
      </c>
      <c r="F26" t="s">
        <v>12</v>
      </c>
      <c r="G26" t="s">
        <v>31</v>
      </c>
      <c r="H26">
        <v>95246.29</v>
      </c>
      <c r="I26">
        <v>0</v>
      </c>
      <c r="J26" t="str">
        <f t="shared" si="0"/>
        <v>High</v>
      </c>
      <c r="K26" t="str">
        <f t="shared" si="1"/>
        <v>Normal</v>
      </c>
      <c r="L26">
        <f t="shared" si="4"/>
        <v>1</v>
      </c>
      <c r="M26">
        <f t="shared" si="2"/>
        <v>1</v>
      </c>
      <c r="N26" s="6">
        <f t="shared" si="3"/>
        <v>45698</v>
      </c>
    </row>
    <row r="27" spans="1:14" x14ac:dyDescent="0.3">
      <c r="A27">
        <v>970</v>
      </c>
      <c r="B27">
        <v>10013</v>
      </c>
      <c r="C27" t="s">
        <v>993</v>
      </c>
      <c r="D27" t="s">
        <v>29</v>
      </c>
      <c r="E27" t="s">
        <v>24</v>
      </c>
      <c r="F27" t="s">
        <v>12</v>
      </c>
      <c r="G27" t="s">
        <v>25</v>
      </c>
      <c r="H27">
        <v>88368.12</v>
      </c>
      <c r="I27">
        <v>0</v>
      </c>
      <c r="J27" t="str">
        <f t="shared" si="0"/>
        <v>High</v>
      </c>
      <c r="K27" t="str">
        <f t="shared" si="1"/>
        <v>Normal</v>
      </c>
      <c r="L27">
        <f t="shared" si="4"/>
        <v>1</v>
      </c>
      <c r="M27">
        <f t="shared" si="2"/>
        <v>1</v>
      </c>
      <c r="N27" s="6">
        <f t="shared" si="3"/>
        <v>45698</v>
      </c>
    </row>
    <row r="28" spans="1:14" x14ac:dyDescent="0.3">
      <c r="A28">
        <v>971</v>
      </c>
      <c r="B28">
        <v>10058</v>
      </c>
      <c r="C28" t="s">
        <v>994</v>
      </c>
      <c r="D28" t="s">
        <v>15</v>
      </c>
      <c r="E28" t="s">
        <v>24</v>
      </c>
      <c r="F28" t="s">
        <v>12</v>
      </c>
      <c r="G28" t="s">
        <v>18</v>
      </c>
      <c r="H28">
        <v>27134.94</v>
      </c>
      <c r="I28">
        <v>0</v>
      </c>
      <c r="J28" t="str">
        <f t="shared" si="0"/>
        <v>High</v>
      </c>
      <c r="K28" t="str">
        <f t="shared" si="1"/>
        <v>Normal</v>
      </c>
      <c r="L28">
        <f t="shared" si="4"/>
        <v>1</v>
      </c>
      <c r="M28">
        <f t="shared" si="2"/>
        <v>1</v>
      </c>
      <c r="N28" s="6">
        <f t="shared" si="3"/>
        <v>45698</v>
      </c>
    </row>
    <row r="29" spans="1:14" x14ac:dyDescent="0.3">
      <c r="A29">
        <v>972</v>
      </c>
      <c r="B29">
        <v>10055</v>
      </c>
      <c r="C29" t="s">
        <v>995</v>
      </c>
      <c r="D29" t="s">
        <v>15</v>
      </c>
      <c r="E29" t="s">
        <v>16</v>
      </c>
      <c r="F29" t="s">
        <v>17</v>
      </c>
      <c r="G29" t="s">
        <v>31</v>
      </c>
      <c r="H29">
        <v>19496.87</v>
      </c>
      <c r="I29">
        <v>0</v>
      </c>
      <c r="J29" t="str">
        <f t="shared" si="0"/>
        <v>High</v>
      </c>
      <c r="K29" t="str">
        <f t="shared" si="1"/>
        <v>Normal</v>
      </c>
      <c r="L29">
        <f t="shared" si="4"/>
        <v>1</v>
      </c>
      <c r="M29">
        <f t="shared" si="2"/>
        <v>1</v>
      </c>
      <c r="N29" s="6">
        <f t="shared" si="3"/>
        <v>45698</v>
      </c>
    </row>
    <row r="30" spans="1:14" x14ac:dyDescent="0.3">
      <c r="A30">
        <v>973</v>
      </c>
      <c r="B30">
        <v>10006</v>
      </c>
      <c r="C30" t="s">
        <v>996</v>
      </c>
      <c r="D30" t="s">
        <v>23</v>
      </c>
      <c r="E30" t="s">
        <v>16</v>
      </c>
      <c r="F30" t="s">
        <v>12</v>
      </c>
      <c r="G30" t="s">
        <v>31</v>
      </c>
      <c r="H30">
        <v>47496.05</v>
      </c>
      <c r="I30">
        <v>0</v>
      </c>
      <c r="J30" t="str">
        <f t="shared" si="0"/>
        <v>High</v>
      </c>
      <c r="K30" t="str">
        <f t="shared" si="1"/>
        <v>Normal</v>
      </c>
      <c r="L30">
        <f t="shared" si="4"/>
        <v>1</v>
      </c>
      <c r="M30">
        <f t="shared" si="2"/>
        <v>1</v>
      </c>
      <c r="N30" s="6">
        <f t="shared" si="3"/>
        <v>45698</v>
      </c>
    </row>
    <row r="31" spans="1:14" x14ac:dyDescent="0.3">
      <c r="A31">
        <v>974</v>
      </c>
      <c r="B31">
        <v>10002</v>
      </c>
      <c r="C31" t="s">
        <v>997</v>
      </c>
      <c r="D31" t="s">
        <v>20</v>
      </c>
      <c r="E31" t="s">
        <v>11</v>
      </c>
      <c r="F31" t="s">
        <v>17</v>
      </c>
      <c r="G31" t="s">
        <v>21</v>
      </c>
      <c r="H31">
        <v>832.68</v>
      </c>
      <c r="I31">
        <v>0</v>
      </c>
      <c r="J31" t="str">
        <f t="shared" si="0"/>
        <v>High</v>
      </c>
      <c r="K31" t="str">
        <f t="shared" si="1"/>
        <v>Normal</v>
      </c>
      <c r="L31">
        <f t="shared" si="4"/>
        <v>1</v>
      </c>
      <c r="M31">
        <f t="shared" si="2"/>
        <v>1</v>
      </c>
      <c r="N31" s="6">
        <f t="shared" si="3"/>
        <v>45698</v>
      </c>
    </row>
    <row r="32" spans="1:14" x14ac:dyDescent="0.3">
      <c r="A32">
        <v>975</v>
      </c>
      <c r="B32">
        <v>10022</v>
      </c>
      <c r="C32" t="s">
        <v>998</v>
      </c>
      <c r="D32" t="s">
        <v>10</v>
      </c>
      <c r="E32" t="s">
        <v>16</v>
      </c>
      <c r="F32" t="s">
        <v>12</v>
      </c>
      <c r="G32" t="s">
        <v>31</v>
      </c>
      <c r="H32">
        <v>2678.36</v>
      </c>
      <c r="I32">
        <v>0</v>
      </c>
      <c r="J32" t="str">
        <f t="shared" si="0"/>
        <v>High</v>
      </c>
      <c r="K32" t="str">
        <f t="shared" si="1"/>
        <v>Normal</v>
      </c>
      <c r="L32">
        <f t="shared" si="4"/>
        <v>1</v>
      </c>
      <c r="M32">
        <f t="shared" si="2"/>
        <v>1</v>
      </c>
      <c r="N32" s="6">
        <f t="shared" si="3"/>
        <v>45698</v>
      </c>
    </row>
    <row r="33" spans="1:14" x14ac:dyDescent="0.3">
      <c r="A33">
        <v>976</v>
      </c>
      <c r="B33">
        <v>10017</v>
      </c>
      <c r="C33" t="s">
        <v>999</v>
      </c>
      <c r="D33" t="s">
        <v>20</v>
      </c>
      <c r="E33" t="s">
        <v>16</v>
      </c>
      <c r="F33" t="s">
        <v>17</v>
      </c>
      <c r="G33" t="s">
        <v>21</v>
      </c>
      <c r="H33">
        <v>55373.73</v>
      </c>
      <c r="I33">
        <v>0</v>
      </c>
      <c r="J33" t="str">
        <f t="shared" si="0"/>
        <v>High</v>
      </c>
      <c r="K33" t="str">
        <f t="shared" si="1"/>
        <v>Normal</v>
      </c>
      <c r="L33">
        <f t="shared" si="4"/>
        <v>1</v>
      </c>
      <c r="M33">
        <f t="shared" si="2"/>
        <v>1</v>
      </c>
      <c r="N33" s="6">
        <f t="shared" si="3"/>
        <v>45698</v>
      </c>
    </row>
    <row r="34" spans="1:14" x14ac:dyDescent="0.3">
      <c r="A34">
        <v>977</v>
      </c>
      <c r="B34">
        <v>10037</v>
      </c>
      <c r="C34" t="s">
        <v>1000</v>
      </c>
      <c r="D34" t="s">
        <v>29</v>
      </c>
      <c r="E34" t="s">
        <v>24</v>
      </c>
      <c r="F34" t="s">
        <v>12</v>
      </c>
      <c r="G34" t="s">
        <v>18</v>
      </c>
      <c r="H34">
        <v>52092.9</v>
      </c>
      <c r="I34">
        <v>0</v>
      </c>
      <c r="J34" t="str">
        <f t="shared" si="0"/>
        <v>High</v>
      </c>
      <c r="K34" t="str">
        <f t="shared" si="1"/>
        <v>Normal</v>
      </c>
      <c r="L34">
        <f t="shared" si="4"/>
        <v>1</v>
      </c>
      <c r="M34">
        <f t="shared" si="2"/>
        <v>1</v>
      </c>
      <c r="N34" s="6">
        <f t="shared" si="3"/>
        <v>45698</v>
      </c>
    </row>
    <row r="35" spans="1:14" x14ac:dyDescent="0.3">
      <c r="A35">
        <v>978</v>
      </c>
      <c r="B35">
        <v>10098</v>
      </c>
      <c r="C35" t="s">
        <v>1001</v>
      </c>
      <c r="D35" t="s">
        <v>10</v>
      </c>
      <c r="E35" t="s">
        <v>16</v>
      </c>
      <c r="F35" t="s">
        <v>17</v>
      </c>
      <c r="G35" t="s">
        <v>18</v>
      </c>
      <c r="H35">
        <v>99458.74</v>
      </c>
      <c r="I35">
        <v>0</v>
      </c>
      <c r="J35" t="str">
        <f t="shared" si="0"/>
        <v>High</v>
      </c>
      <c r="K35" t="str">
        <f t="shared" si="1"/>
        <v>Normal</v>
      </c>
      <c r="L35">
        <f t="shared" si="4"/>
        <v>1</v>
      </c>
      <c r="M35">
        <f t="shared" si="2"/>
        <v>1</v>
      </c>
      <c r="N35" s="6">
        <f t="shared" si="3"/>
        <v>45698</v>
      </c>
    </row>
    <row r="36" spans="1:14" x14ac:dyDescent="0.3">
      <c r="A36">
        <v>979</v>
      </c>
      <c r="B36">
        <v>10014</v>
      </c>
      <c r="C36" t="s">
        <v>1002</v>
      </c>
      <c r="D36" t="s">
        <v>23</v>
      </c>
      <c r="E36" t="s">
        <v>24</v>
      </c>
      <c r="F36" t="s">
        <v>12</v>
      </c>
      <c r="G36" t="s">
        <v>18</v>
      </c>
      <c r="H36">
        <v>20264</v>
      </c>
      <c r="I36">
        <v>0</v>
      </c>
      <c r="J36" t="str">
        <f t="shared" si="0"/>
        <v>High</v>
      </c>
      <c r="K36" t="str">
        <f t="shared" si="1"/>
        <v>Normal</v>
      </c>
      <c r="L36">
        <f t="shared" si="4"/>
        <v>1</v>
      </c>
      <c r="M36">
        <f t="shared" si="2"/>
        <v>1</v>
      </c>
      <c r="N36" s="6">
        <f t="shared" si="3"/>
        <v>45698</v>
      </c>
    </row>
    <row r="37" spans="1:14" x14ac:dyDescent="0.3">
      <c r="A37">
        <v>980</v>
      </c>
      <c r="B37">
        <v>10063</v>
      </c>
      <c r="C37" t="s">
        <v>1003</v>
      </c>
      <c r="D37" t="s">
        <v>23</v>
      </c>
      <c r="E37" t="s">
        <v>11</v>
      </c>
      <c r="F37" t="s">
        <v>17</v>
      </c>
      <c r="G37" t="s">
        <v>13</v>
      </c>
      <c r="H37">
        <v>25884.58</v>
      </c>
      <c r="I37">
        <v>0</v>
      </c>
      <c r="J37" t="str">
        <f t="shared" si="0"/>
        <v>High</v>
      </c>
      <c r="K37" t="str">
        <f t="shared" si="1"/>
        <v>Normal</v>
      </c>
      <c r="L37">
        <f t="shared" si="4"/>
        <v>1</v>
      </c>
      <c r="M37">
        <f t="shared" si="2"/>
        <v>1</v>
      </c>
      <c r="N37" s="6">
        <f t="shared" si="3"/>
        <v>45698</v>
      </c>
    </row>
    <row r="38" spans="1:14" x14ac:dyDescent="0.3">
      <c r="A38">
        <v>981</v>
      </c>
      <c r="B38">
        <v>10088</v>
      </c>
      <c r="C38" t="s">
        <v>1004</v>
      </c>
      <c r="D38" t="s">
        <v>10</v>
      </c>
      <c r="E38" t="s">
        <v>11</v>
      </c>
      <c r="F38" t="s">
        <v>17</v>
      </c>
      <c r="G38" t="s">
        <v>18</v>
      </c>
      <c r="H38">
        <v>11442.71</v>
      </c>
      <c r="I38">
        <v>0</v>
      </c>
      <c r="J38" t="str">
        <f t="shared" si="0"/>
        <v>High</v>
      </c>
      <c r="K38" t="str">
        <f t="shared" si="1"/>
        <v>Normal</v>
      </c>
      <c r="L38">
        <f t="shared" si="4"/>
        <v>1</v>
      </c>
      <c r="M38">
        <f t="shared" si="2"/>
        <v>1</v>
      </c>
      <c r="N38" s="6">
        <f t="shared" si="3"/>
        <v>45698</v>
      </c>
    </row>
    <row r="39" spans="1:14" x14ac:dyDescent="0.3">
      <c r="A39">
        <v>982</v>
      </c>
      <c r="B39">
        <v>10027</v>
      </c>
      <c r="C39" t="s">
        <v>1005</v>
      </c>
      <c r="D39" t="s">
        <v>15</v>
      </c>
      <c r="E39" t="s">
        <v>16</v>
      </c>
      <c r="F39" t="s">
        <v>17</v>
      </c>
      <c r="G39" t="s">
        <v>31</v>
      </c>
      <c r="H39">
        <v>91762.55</v>
      </c>
      <c r="I39">
        <v>0</v>
      </c>
      <c r="J39" t="str">
        <f t="shared" si="0"/>
        <v>High</v>
      </c>
      <c r="K39" t="str">
        <f t="shared" si="1"/>
        <v>Normal</v>
      </c>
      <c r="L39">
        <f t="shared" si="4"/>
        <v>1</v>
      </c>
      <c r="M39">
        <f t="shared" si="2"/>
        <v>1</v>
      </c>
      <c r="N39" s="6">
        <f t="shared" si="3"/>
        <v>45698</v>
      </c>
    </row>
    <row r="40" spans="1:14" x14ac:dyDescent="0.3">
      <c r="A40">
        <v>983</v>
      </c>
      <c r="B40">
        <v>10073</v>
      </c>
      <c r="C40" t="s">
        <v>1006</v>
      </c>
      <c r="D40" t="s">
        <v>10</v>
      </c>
      <c r="E40" t="s">
        <v>11</v>
      </c>
      <c r="F40" t="s">
        <v>17</v>
      </c>
      <c r="G40" t="s">
        <v>25</v>
      </c>
      <c r="H40">
        <v>77803.34</v>
      </c>
      <c r="I40">
        <v>1</v>
      </c>
      <c r="J40" t="str">
        <f t="shared" si="0"/>
        <v>High</v>
      </c>
      <c r="K40" t="str">
        <f t="shared" si="1"/>
        <v>High Risk</v>
      </c>
      <c r="L40">
        <f t="shared" si="4"/>
        <v>1</v>
      </c>
      <c r="M40">
        <f t="shared" si="2"/>
        <v>1</v>
      </c>
      <c r="N40" s="6">
        <f t="shared" si="3"/>
        <v>45698</v>
      </c>
    </row>
    <row r="41" spans="1:14" x14ac:dyDescent="0.3">
      <c r="A41">
        <v>984</v>
      </c>
      <c r="B41">
        <v>10038</v>
      </c>
      <c r="C41" t="s">
        <v>1007</v>
      </c>
      <c r="D41" t="s">
        <v>29</v>
      </c>
      <c r="E41" t="s">
        <v>16</v>
      </c>
      <c r="F41" t="s">
        <v>17</v>
      </c>
      <c r="G41" t="s">
        <v>21</v>
      </c>
      <c r="H41">
        <v>82251.679999999993</v>
      </c>
      <c r="I41">
        <v>0</v>
      </c>
      <c r="J41" t="str">
        <f t="shared" si="0"/>
        <v>High</v>
      </c>
      <c r="K41" t="str">
        <f t="shared" si="1"/>
        <v>Normal</v>
      </c>
      <c r="L41">
        <f t="shared" si="4"/>
        <v>1</v>
      </c>
      <c r="M41">
        <f t="shared" si="2"/>
        <v>1</v>
      </c>
      <c r="N41" s="6">
        <f t="shared" si="3"/>
        <v>45698</v>
      </c>
    </row>
    <row r="42" spans="1:14" x14ac:dyDescent="0.3">
      <c r="A42">
        <v>937</v>
      </c>
      <c r="B42">
        <v>10048</v>
      </c>
      <c r="C42" t="s">
        <v>960</v>
      </c>
      <c r="D42" t="s">
        <v>20</v>
      </c>
      <c r="E42" t="s">
        <v>24</v>
      </c>
      <c r="F42" t="s">
        <v>12</v>
      </c>
      <c r="G42" t="s">
        <v>21</v>
      </c>
      <c r="H42">
        <v>44170.94</v>
      </c>
      <c r="I42">
        <v>0</v>
      </c>
      <c r="J42" t="str">
        <f t="shared" si="0"/>
        <v>High</v>
      </c>
      <c r="K42" t="str">
        <f t="shared" si="1"/>
        <v>Normal</v>
      </c>
      <c r="L42">
        <f t="shared" si="4"/>
        <v>1</v>
      </c>
      <c r="M42">
        <f t="shared" si="2"/>
        <v>1</v>
      </c>
      <c r="N42" s="6">
        <f t="shared" si="3"/>
        <v>45697</v>
      </c>
    </row>
    <row r="43" spans="1:14" x14ac:dyDescent="0.3">
      <c r="A43">
        <v>938</v>
      </c>
      <c r="B43">
        <v>10077</v>
      </c>
      <c r="C43" t="s">
        <v>961</v>
      </c>
      <c r="D43" t="s">
        <v>23</v>
      </c>
      <c r="E43" t="s">
        <v>24</v>
      </c>
      <c r="F43" t="s">
        <v>17</v>
      </c>
      <c r="G43" t="s">
        <v>18</v>
      </c>
      <c r="H43">
        <v>20021.22</v>
      </c>
      <c r="I43">
        <v>0</v>
      </c>
      <c r="J43" t="str">
        <f t="shared" si="0"/>
        <v>High</v>
      </c>
      <c r="K43" t="str">
        <f t="shared" si="1"/>
        <v>Normal</v>
      </c>
      <c r="L43">
        <f t="shared" si="4"/>
        <v>1</v>
      </c>
      <c r="M43">
        <f t="shared" si="2"/>
        <v>1</v>
      </c>
      <c r="N43" s="6">
        <f t="shared" si="3"/>
        <v>45697</v>
      </c>
    </row>
    <row r="44" spans="1:14" x14ac:dyDescent="0.3">
      <c r="A44">
        <v>939</v>
      </c>
      <c r="B44">
        <v>10089</v>
      </c>
      <c r="C44" t="s">
        <v>962</v>
      </c>
      <c r="D44" t="s">
        <v>20</v>
      </c>
      <c r="E44" t="s">
        <v>11</v>
      </c>
      <c r="F44" t="s">
        <v>17</v>
      </c>
      <c r="G44" t="s">
        <v>13</v>
      </c>
      <c r="H44">
        <v>26520.73</v>
      </c>
      <c r="I44">
        <v>0</v>
      </c>
      <c r="J44" t="str">
        <f t="shared" si="0"/>
        <v>High</v>
      </c>
      <c r="K44" t="str">
        <f t="shared" si="1"/>
        <v>Normal</v>
      </c>
      <c r="L44">
        <f t="shared" si="4"/>
        <v>1</v>
      </c>
      <c r="M44">
        <f t="shared" si="2"/>
        <v>1</v>
      </c>
      <c r="N44" s="6">
        <f t="shared" si="3"/>
        <v>45697</v>
      </c>
    </row>
    <row r="45" spans="1:14" x14ac:dyDescent="0.3">
      <c r="A45">
        <v>940</v>
      </c>
      <c r="B45">
        <v>10044</v>
      </c>
      <c r="C45" t="s">
        <v>963</v>
      </c>
      <c r="D45" t="s">
        <v>15</v>
      </c>
      <c r="E45" t="s">
        <v>16</v>
      </c>
      <c r="F45" t="s">
        <v>17</v>
      </c>
      <c r="G45" t="s">
        <v>25</v>
      </c>
      <c r="H45">
        <v>50404.34</v>
      </c>
      <c r="I45">
        <v>0</v>
      </c>
      <c r="J45" t="str">
        <f t="shared" si="0"/>
        <v>High</v>
      </c>
      <c r="K45" t="str">
        <f t="shared" si="1"/>
        <v>Normal</v>
      </c>
      <c r="L45">
        <f t="shared" si="4"/>
        <v>1</v>
      </c>
      <c r="M45">
        <f t="shared" si="2"/>
        <v>1</v>
      </c>
      <c r="N45" s="6">
        <f t="shared" si="3"/>
        <v>45697</v>
      </c>
    </row>
    <row r="46" spans="1:14" x14ac:dyDescent="0.3">
      <c r="A46">
        <v>941</v>
      </c>
      <c r="B46">
        <v>10026</v>
      </c>
      <c r="C46" t="s">
        <v>964</v>
      </c>
      <c r="D46" t="s">
        <v>15</v>
      </c>
      <c r="E46" t="s">
        <v>24</v>
      </c>
      <c r="F46" t="s">
        <v>12</v>
      </c>
      <c r="G46" t="s">
        <v>31</v>
      </c>
      <c r="H46">
        <v>6904.09</v>
      </c>
      <c r="I46">
        <v>0</v>
      </c>
      <c r="J46" t="str">
        <f t="shared" si="0"/>
        <v>High</v>
      </c>
      <c r="K46" t="str">
        <f t="shared" si="1"/>
        <v>Normal</v>
      </c>
      <c r="L46">
        <f t="shared" si="4"/>
        <v>1</v>
      </c>
      <c r="M46">
        <f t="shared" si="2"/>
        <v>1</v>
      </c>
      <c r="N46" s="6">
        <f t="shared" si="3"/>
        <v>45697</v>
      </c>
    </row>
    <row r="47" spans="1:14" x14ac:dyDescent="0.3">
      <c r="A47">
        <v>942</v>
      </c>
      <c r="B47">
        <v>10072</v>
      </c>
      <c r="C47" t="s">
        <v>965</v>
      </c>
      <c r="D47" t="s">
        <v>20</v>
      </c>
      <c r="E47" t="s">
        <v>11</v>
      </c>
      <c r="F47" t="s">
        <v>12</v>
      </c>
      <c r="G47" t="s">
        <v>25</v>
      </c>
      <c r="H47">
        <v>21895.62</v>
      </c>
      <c r="I47">
        <v>0</v>
      </c>
      <c r="J47" t="str">
        <f t="shared" si="0"/>
        <v>High</v>
      </c>
      <c r="K47" t="str">
        <f t="shared" si="1"/>
        <v>Normal</v>
      </c>
      <c r="L47">
        <f t="shared" si="4"/>
        <v>1</v>
      </c>
      <c r="M47">
        <f t="shared" si="2"/>
        <v>1</v>
      </c>
      <c r="N47" s="6">
        <f t="shared" si="3"/>
        <v>45697</v>
      </c>
    </row>
    <row r="48" spans="1:14" x14ac:dyDescent="0.3">
      <c r="A48">
        <v>943</v>
      </c>
      <c r="B48">
        <v>10025</v>
      </c>
      <c r="C48" t="s">
        <v>966</v>
      </c>
      <c r="D48" t="s">
        <v>20</v>
      </c>
      <c r="E48" t="s">
        <v>24</v>
      </c>
      <c r="F48" t="s">
        <v>12</v>
      </c>
      <c r="G48" t="s">
        <v>31</v>
      </c>
      <c r="H48">
        <v>93544.28</v>
      </c>
      <c r="I48">
        <v>0</v>
      </c>
      <c r="J48" t="str">
        <f t="shared" si="0"/>
        <v>High</v>
      </c>
      <c r="K48" t="str">
        <f t="shared" si="1"/>
        <v>Normal</v>
      </c>
      <c r="L48">
        <f t="shared" si="4"/>
        <v>1</v>
      </c>
      <c r="M48">
        <f t="shared" si="2"/>
        <v>1</v>
      </c>
      <c r="N48" s="6">
        <f t="shared" si="3"/>
        <v>45697</v>
      </c>
    </row>
    <row r="49" spans="1:14" x14ac:dyDescent="0.3">
      <c r="A49">
        <v>944</v>
      </c>
      <c r="B49">
        <v>10046</v>
      </c>
      <c r="C49" t="s">
        <v>967</v>
      </c>
      <c r="D49" t="s">
        <v>15</v>
      </c>
      <c r="E49" t="s">
        <v>16</v>
      </c>
      <c r="F49" t="s">
        <v>17</v>
      </c>
      <c r="G49" t="s">
        <v>13</v>
      </c>
      <c r="H49">
        <v>46665.02</v>
      </c>
      <c r="I49">
        <v>0</v>
      </c>
      <c r="J49" t="str">
        <f t="shared" si="0"/>
        <v>High</v>
      </c>
      <c r="K49" t="str">
        <f t="shared" si="1"/>
        <v>Normal</v>
      </c>
      <c r="L49">
        <f t="shared" si="4"/>
        <v>1</v>
      </c>
      <c r="M49">
        <f t="shared" si="2"/>
        <v>1</v>
      </c>
      <c r="N49" s="6">
        <f t="shared" si="3"/>
        <v>45697</v>
      </c>
    </row>
    <row r="50" spans="1:14" x14ac:dyDescent="0.3">
      <c r="A50">
        <v>945</v>
      </c>
      <c r="B50">
        <v>10085</v>
      </c>
      <c r="C50" t="s">
        <v>968</v>
      </c>
      <c r="D50" t="s">
        <v>23</v>
      </c>
      <c r="E50" t="s">
        <v>11</v>
      </c>
      <c r="F50" t="s">
        <v>17</v>
      </c>
      <c r="G50" t="s">
        <v>21</v>
      </c>
      <c r="H50">
        <v>44594.11</v>
      </c>
      <c r="I50">
        <v>0</v>
      </c>
      <c r="J50" t="str">
        <f t="shared" si="0"/>
        <v>High</v>
      </c>
      <c r="K50" t="str">
        <f t="shared" si="1"/>
        <v>Normal</v>
      </c>
      <c r="L50">
        <f t="shared" si="4"/>
        <v>1</v>
      </c>
      <c r="M50">
        <f t="shared" si="2"/>
        <v>1</v>
      </c>
      <c r="N50" s="6">
        <f t="shared" si="3"/>
        <v>45697</v>
      </c>
    </row>
    <row r="51" spans="1:14" x14ac:dyDescent="0.3">
      <c r="A51">
        <v>946</v>
      </c>
      <c r="B51">
        <v>10055</v>
      </c>
      <c r="C51" t="s">
        <v>969</v>
      </c>
      <c r="D51" t="s">
        <v>29</v>
      </c>
      <c r="E51" t="s">
        <v>24</v>
      </c>
      <c r="F51" t="s">
        <v>12</v>
      </c>
      <c r="G51" t="s">
        <v>25</v>
      </c>
      <c r="H51">
        <v>1555.26</v>
      </c>
      <c r="I51">
        <v>0</v>
      </c>
      <c r="J51" t="str">
        <f t="shared" si="0"/>
        <v>High</v>
      </c>
      <c r="K51" t="str">
        <f t="shared" si="1"/>
        <v>Normal</v>
      </c>
      <c r="L51">
        <f t="shared" si="4"/>
        <v>1</v>
      </c>
      <c r="M51">
        <f t="shared" si="2"/>
        <v>1</v>
      </c>
      <c r="N51" s="6">
        <f t="shared" si="3"/>
        <v>45697</v>
      </c>
    </row>
    <row r="52" spans="1:14" x14ac:dyDescent="0.3">
      <c r="A52">
        <v>947</v>
      </c>
      <c r="B52">
        <v>10093</v>
      </c>
      <c r="C52" t="s">
        <v>970</v>
      </c>
      <c r="D52" t="s">
        <v>29</v>
      </c>
      <c r="E52" t="s">
        <v>16</v>
      </c>
      <c r="F52" t="s">
        <v>12</v>
      </c>
      <c r="G52" t="s">
        <v>25</v>
      </c>
      <c r="H52">
        <v>24815.23</v>
      </c>
      <c r="I52">
        <v>0</v>
      </c>
      <c r="J52" t="str">
        <f t="shared" si="0"/>
        <v>High</v>
      </c>
      <c r="K52" t="str">
        <f t="shared" si="1"/>
        <v>Normal</v>
      </c>
      <c r="L52">
        <f t="shared" si="4"/>
        <v>1</v>
      </c>
      <c r="M52">
        <f t="shared" si="2"/>
        <v>1</v>
      </c>
      <c r="N52" s="6">
        <f t="shared" si="3"/>
        <v>45697</v>
      </c>
    </row>
    <row r="53" spans="1:14" x14ac:dyDescent="0.3">
      <c r="A53">
        <v>948</v>
      </c>
      <c r="B53">
        <v>10062</v>
      </c>
      <c r="C53" t="s">
        <v>971</v>
      </c>
      <c r="D53" t="s">
        <v>20</v>
      </c>
      <c r="E53" t="s">
        <v>24</v>
      </c>
      <c r="F53" t="s">
        <v>12</v>
      </c>
      <c r="G53" t="s">
        <v>25</v>
      </c>
      <c r="H53">
        <v>86642.61</v>
      </c>
      <c r="I53">
        <v>0</v>
      </c>
      <c r="J53" t="str">
        <f t="shared" si="0"/>
        <v>High</v>
      </c>
      <c r="K53" t="str">
        <f t="shared" si="1"/>
        <v>Normal</v>
      </c>
      <c r="L53">
        <f t="shared" si="4"/>
        <v>1</v>
      </c>
      <c r="M53">
        <f t="shared" si="2"/>
        <v>1</v>
      </c>
      <c r="N53" s="6">
        <f t="shared" si="3"/>
        <v>45697</v>
      </c>
    </row>
    <row r="54" spans="1:14" x14ac:dyDescent="0.3">
      <c r="A54">
        <v>949</v>
      </c>
      <c r="B54">
        <v>10047</v>
      </c>
      <c r="C54" t="s">
        <v>972</v>
      </c>
      <c r="D54" t="s">
        <v>29</v>
      </c>
      <c r="E54" t="s">
        <v>16</v>
      </c>
      <c r="F54" t="s">
        <v>12</v>
      </c>
      <c r="G54" t="s">
        <v>31</v>
      </c>
      <c r="H54">
        <v>16546.38</v>
      </c>
      <c r="I54">
        <v>0</v>
      </c>
      <c r="J54" t="str">
        <f t="shared" si="0"/>
        <v>High</v>
      </c>
      <c r="K54" t="str">
        <f t="shared" si="1"/>
        <v>Normal</v>
      </c>
      <c r="L54">
        <f t="shared" si="4"/>
        <v>1</v>
      </c>
      <c r="M54">
        <f t="shared" si="2"/>
        <v>1</v>
      </c>
      <c r="N54" s="6">
        <f t="shared" si="3"/>
        <v>45697</v>
      </c>
    </row>
    <row r="55" spans="1:14" x14ac:dyDescent="0.3">
      <c r="A55">
        <v>950</v>
      </c>
      <c r="B55">
        <v>10060</v>
      </c>
      <c r="C55" t="s">
        <v>973</v>
      </c>
      <c r="D55" t="s">
        <v>15</v>
      </c>
      <c r="E55" t="s">
        <v>16</v>
      </c>
      <c r="F55" t="s">
        <v>12</v>
      </c>
      <c r="G55" t="s">
        <v>13</v>
      </c>
      <c r="H55">
        <v>41570.980000000003</v>
      </c>
      <c r="I55">
        <v>0</v>
      </c>
      <c r="J55" t="str">
        <f t="shared" si="0"/>
        <v>High</v>
      </c>
      <c r="K55" t="str">
        <f t="shared" si="1"/>
        <v>Normal</v>
      </c>
      <c r="L55">
        <f t="shared" si="4"/>
        <v>1</v>
      </c>
      <c r="M55">
        <f t="shared" si="2"/>
        <v>1</v>
      </c>
      <c r="N55" s="6">
        <f t="shared" si="3"/>
        <v>45697</v>
      </c>
    </row>
    <row r="56" spans="1:14" x14ac:dyDescent="0.3">
      <c r="A56">
        <v>951</v>
      </c>
      <c r="B56">
        <v>10080</v>
      </c>
      <c r="C56" t="s">
        <v>974</v>
      </c>
      <c r="D56" t="s">
        <v>15</v>
      </c>
      <c r="E56" t="s">
        <v>11</v>
      </c>
      <c r="F56" t="s">
        <v>17</v>
      </c>
      <c r="G56" t="s">
        <v>25</v>
      </c>
      <c r="H56">
        <v>1531.66</v>
      </c>
      <c r="I56">
        <v>0</v>
      </c>
      <c r="J56" t="str">
        <f t="shared" si="0"/>
        <v>High</v>
      </c>
      <c r="K56" t="str">
        <f t="shared" si="1"/>
        <v>Normal</v>
      </c>
      <c r="L56">
        <f t="shared" si="4"/>
        <v>1</v>
      </c>
      <c r="M56">
        <f t="shared" si="2"/>
        <v>1</v>
      </c>
      <c r="N56" s="6">
        <f t="shared" si="3"/>
        <v>45697</v>
      </c>
    </row>
    <row r="57" spans="1:14" x14ac:dyDescent="0.3">
      <c r="A57">
        <v>952</v>
      </c>
      <c r="B57">
        <v>10025</v>
      </c>
      <c r="C57" t="s">
        <v>975</v>
      </c>
      <c r="D57" t="s">
        <v>20</v>
      </c>
      <c r="E57" t="s">
        <v>16</v>
      </c>
      <c r="F57" t="s">
        <v>17</v>
      </c>
      <c r="G57" t="s">
        <v>25</v>
      </c>
      <c r="H57">
        <v>47885.71</v>
      </c>
      <c r="I57">
        <v>0</v>
      </c>
      <c r="J57" t="str">
        <f t="shared" si="0"/>
        <v>High</v>
      </c>
      <c r="K57" t="str">
        <f t="shared" si="1"/>
        <v>Normal</v>
      </c>
      <c r="L57">
        <f t="shared" si="4"/>
        <v>1</v>
      </c>
      <c r="M57">
        <f t="shared" si="2"/>
        <v>1</v>
      </c>
      <c r="N57" s="6">
        <f t="shared" si="3"/>
        <v>45697</v>
      </c>
    </row>
    <row r="58" spans="1:14" x14ac:dyDescent="0.3">
      <c r="A58">
        <v>953</v>
      </c>
      <c r="B58">
        <v>10035</v>
      </c>
      <c r="C58" t="s">
        <v>976</v>
      </c>
      <c r="D58" t="s">
        <v>20</v>
      </c>
      <c r="E58" t="s">
        <v>24</v>
      </c>
      <c r="F58" t="s">
        <v>17</v>
      </c>
      <c r="G58" t="s">
        <v>21</v>
      </c>
      <c r="H58">
        <v>2200.0100000000002</v>
      </c>
      <c r="I58">
        <v>0</v>
      </c>
      <c r="J58" t="str">
        <f t="shared" si="0"/>
        <v>High</v>
      </c>
      <c r="K58" t="str">
        <f t="shared" si="1"/>
        <v>Normal</v>
      </c>
      <c r="L58">
        <f t="shared" si="4"/>
        <v>1</v>
      </c>
      <c r="M58">
        <f t="shared" si="2"/>
        <v>1</v>
      </c>
      <c r="N58" s="6">
        <f t="shared" si="3"/>
        <v>45697</v>
      </c>
    </row>
    <row r="59" spans="1:14" x14ac:dyDescent="0.3">
      <c r="A59">
        <v>954</v>
      </c>
      <c r="B59">
        <v>10000</v>
      </c>
      <c r="C59" t="s">
        <v>977</v>
      </c>
      <c r="D59" t="s">
        <v>20</v>
      </c>
      <c r="E59" t="s">
        <v>16</v>
      </c>
      <c r="F59" t="s">
        <v>12</v>
      </c>
      <c r="G59" t="s">
        <v>21</v>
      </c>
      <c r="H59">
        <v>81978.990000000005</v>
      </c>
      <c r="I59">
        <v>0</v>
      </c>
      <c r="J59" t="str">
        <f t="shared" si="0"/>
        <v>High</v>
      </c>
      <c r="K59" t="str">
        <f t="shared" si="1"/>
        <v>Normal</v>
      </c>
      <c r="L59">
        <f t="shared" si="4"/>
        <v>1</v>
      </c>
      <c r="M59">
        <f t="shared" si="2"/>
        <v>1</v>
      </c>
      <c r="N59" s="6">
        <f t="shared" si="3"/>
        <v>45697</v>
      </c>
    </row>
    <row r="60" spans="1:14" x14ac:dyDescent="0.3">
      <c r="A60">
        <v>955</v>
      </c>
      <c r="B60">
        <v>10007</v>
      </c>
      <c r="C60" t="s">
        <v>978</v>
      </c>
      <c r="D60" t="s">
        <v>23</v>
      </c>
      <c r="E60" t="s">
        <v>16</v>
      </c>
      <c r="F60" t="s">
        <v>17</v>
      </c>
      <c r="G60" t="s">
        <v>13</v>
      </c>
      <c r="H60">
        <v>82502.89</v>
      </c>
      <c r="I60">
        <v>0</v>
      </c>
      <c r="J60" t="str">
        <f t="shared" si="0"/>
        <v>High</v>
      </c>
      <c r="K60" t="str">
        <f t="shared" si="1"/>
        <v>Normal</v>
      </c>
      <c r="L60">
        <f t="shared" si="4"/>
        <v>1</v>
      </c>
      <c r="M60">
        <f t="shared" si="2"/>
        <v>1</v>
      </c>
      <c r="N60" s="6">
        <f t="shared" si="3"/>
        <v>45697</v>
      </c>
    </row>
    <row r="61" spans="1:14" x14ac:dyDescent="0.3">
      <c r="A61">
        <v>956</v>
      </c>
      <c r="B61">
        <v>10098</v>
      </c>
      <c r="C61" t="s">
        <v>979</v>
      </c>
      <c r="D61" t="s">
        <v>29</v>
      </c>
      <c r="E61" t="s">
        <v>11</v>
      </c>
      <c r="F61" t="s">
        <v>17</v>
      </c>
      <c r="G61" t="s">
        <v>13</v>
      </c>
      <c r="H61">
        <v>78795.44</v>
      </c>
      <c r="I61">
        <v>1</v>
      </c>
      <c r="J61" t="str">
        <f t="shared" si="0"/>
        <v>High</v>
      </c>
      <c r="K61" t="str">
        <f t="shared" si="1"/>
        <v>High Risk</v>
      </c>
      <c r="L61">
        <f t="shared" si="4"/>
        <v>1</v>
      </c>
      <c r="M61">
        <f t="shared" si="2"/>
        <v>1</v>
      </c>
      <c r="N61" s="6">
        <f t="shared" si="3"/>
        <v>45697</v>
      </c>
    </row>
    <row r="62" spans="1:14" x14ac:dyDescent="0.3">
      <c r="A62">
        <v>957</v>
      </c>
      <c r="B62">
        <v>10051</v>
      </c>
      <c r="C62" t="s">
        <v>980</v>
      </c>
      <c r="D62" t="s">
        <v>20</v>
      </c>
      <c r="E62" t="s">
        <v>16</v>
      </c>
      <c r="F62" t="s">
        <v>17</v>
      </c>
      <c r="G62" t="s">
        <v>18</v>
      </c>
      <c r="H62">
        <v>28408.07</v>
      </c>
      <c r="I62">
        <v>0</v>
      </c>
      <c r="J62" t="str">
        <f t="shared" si="0"/>
        <v>High</v>
      </c>
      <c r="K62" t="str">
        <f t="shared" si="1"/>
        <v>Normal</v>
      </c>
      <c r="L62">
        <f t="shared" si="4"/>
        <v>1</v>
      </c>
      <c r="M62">
        <f t="shared" si="2"/>
        <v>1</v>
      </c>
      <c r="N62" s="6">
        <f t="shared" si="3"/>
        <v>45697</v>
      </c>
    </row>
    <row r="63" spans="1:14" x14ac:dyDescent="0.3">
      <c r="A63">
        <v>958</v>
      </c>
      <c r="B63">
        <v>10078</v>
      </c>
      <c r="C63" t="s">
        <v>981</v>
      </c>
      <c r="D63" t="s">
        <v>10</v>
      </c>
      <c r="E63" t="s">
        <v>16</v>
      </c>
      <c r="F63" t="s">
        <v>17</v>
      </c>
      <c r="G63" t="s">
        <v>21</v>
      </c>
      <c r="H63">
        <v>83740</v>
      </c>
      <c r="I63">
        <v>0</v>
      </c>
      <c r="J63" t="str">
        <f t="shared" si="0"/>
        <v>High</v>
      </c>
      <c r="K63" t="str">
        <f t="shared" si="1"/>
        <v>Normal</v>
      </c>
      <c r="L63">
        <f t="shared" si="4"/>
        <v>1</v>
      </c>
      <c r="M63">
        <f t="shared" si="2"/>
        <v>1</v>
      </c>
      <c r="N63" s="6">
        <f t="shared" si="3"/>
        <v>45697</v>
      </c>
    </row>
    <row r="64" spans="1:14" x14ac:dyDescent="0.3">
      <c r="A64">
        <v>959</v>
      </c>
      <c r="B64">
        <v>10046</v>
      </c>
      <c r="C64" t="s">
        <v>982</v>
      </c>
      <c r="D64" t="s">
        <v>10</v>
      </c>
      <c r="E64" t="s">
        <v>24</v>
      </c>
      <c r="F64" t="s">
        <v>17</v>
      </c>
      <c r="G64" t="s">
        <v>18</v>
      </c>
      <c r="H64">
        <v>54345.51</v>
      </c>
      <c r="I64">
        <v>0</v>
      </c>
      <c r="J64" t="str">
        <f t="shared" si="0"/>
        <v>High</v>
      </c>
      <c r="K64" t="str">
        <f t="shared" si="1"/>
        <v>Normal</v>
      </c>
      <c r="L64">
        <f t="shared" si="4"/>
        <v>1</v>
      </c>
      <c r="M64">
        <f t="shared" si="2"/>
        <v>1</v>
      </c>
      <c r="N64" s="6">
        <f t="shared" si="3"/>
        <v>45697</v>
      </c>
    </row>
    <row r="65" spans="1:14" x14ac:dyDescent="0.3">
      <c r="A65">
        <v>960</v>
      </c>
      <c r="B65">
        <v>10055</v>
      </c>
      <c r="C65" t="s">
        <v>983</v>
      </c>
      <c r="D65" t="s">
        <v>15</v>
      </c>
      <c r="E65" t="s">
        <v>11</v>
      </c>
      <c r="F65" t="s">
        <v>12</v>
      </c>
      <c r="G65" t="s">
        <v>31</v>
      </c>
      <c r="H65">
        <v>37443.43</v>
      </c>
      <c r="I65">
        <v>0</v>
      </c>
      <c r="J65" t="str">
        <f t="shared" si="0"/>
        <v>High</v>
      </c>
      <c r="K65" t="str">
        <f t="shared" si="1"/>
        <v>Normal</v>
      </c>
      <c r="L65">
        <f t="shared" si="4"/>
        <v>1</v>
      </c>
      <c r="M65">
        <f t="shared" si="2"/>
        <v>1</v>
      </c>
      <c r="N65" s="6">
        <f t="shared" si="3"/>
        <v>45697</v>
      </c>
    </row>
    <row r="66" spans="1:14" x14ac:dyDescent="0.3">
      <c r="A66">
        <v>913</v>
      </c>
      <c r="B66">
        <v>10095</v>
      </c>
      <c r="C66" t="s">
        <v>936</v>
      </c>
      <c r="D66" t="s">
        <v>10</v>
      </c>
      <c r="E66" t="s">
        <v>16</v>
      </c>
      <c r="F66" t="s">
        <v>17</v>
      </c>
      <c r="G66" t="s">
        <v>13</v>
      </c>
      <c r="H66">
        <v>47004.91</v>
      </c>
      <c r="I66">
        <v>0</v>
      </c>
      <c r="J66" t="str">
        <f t="shared" ref="J66:J129" si="5">IF(E66&gt;50000,"High","Normal")</f>
        <v>High</v>
      </c>
      <c r="K66" t="str">
        <f t="shared" ref="K66:K129" si="6">IF(AND(H66&gt;50000,E66="Online"),"High Risk","Normal")</f>
        <v>Normal</v>
      </c>
      <c r="L66">
        <f t="shared" ref="L66:L129" si="7">COUNTIFS(C:C,C66,B:B,B66)</f>
        <v>1</v>
      </c>
      <c r="M66">
        <f t="shared" ref="M66:M129" si="8">IF(E66&gt;50000,1,0) + IF(H66="Unusual",1,0) + IF(I66&gt;3,1,0)</f>
        <v>1</v>
      </c>
      <c r="N66" s="6">
        <f t="shared" ref="N66:N129" si="9">INT(C66)</f>
        <v>45696</v>
      </c>
    </row>
    <row r="67" spans="1:14" x14ac:dyDescent="0.3">
      <c r="A67">
        <v>914</v>
      </c>
      <c r="B67">
        <v>10066</v>
      </c>
      <c r="C67" t="s">
        <v>937</v>
      </c>
      <c r="D67" t="s">
        <v>15</v>
      </c>
      <c r="E67" t="s">
        <v>24</v>
      </c>
      <c r="F67" t="s">
        <v>17</v>
      </c>
      <c r="G67" t="s">
        <v>31</v>
      </c>
      <c r="H67">
        <v>42323.34</v>
      </c>
      <c r="I67">
        <v>0</v>
      </c>
      <c r="J67" t="str">
        <f t="shared" si="5"/>
        <v>High</v>
      </c>
      <c r="K67" t="str">
        <f t="shared" si="6"/>
        <v>Normal</v>
      </c>
      <c r="L67">
        <f t="shared" si="7"/>
        <v>1</v>
      </c>
      <c r="M67">
        <f t="shared" si="8"/>
        <v>1</v>
      </c>
      <c r="N67" s="6">
        <f t="shared" si="9"/>
        <v>45696</v>
      </c>
    </row>
    <row r="68" spans="1:14" x14ac:dyDescent="0.3">
      <c r="A68">
        <v>915</v>
      </c>
      <c r="B68">
        <v>10026</v>
      </c>
      <c r="C68" t="s">
        <v>938</v>
      </c>
      <c r="D68" t="s">
        <v>23</v>
      </c>
      <c r="E68" t="s">
        <v>16</v>
      </c>
      <c r="F68" t="s">
        <v>12</v>
      </c>
      <c r="G68" t="s">
        <v>18</v>
      </c>
      <c r="H68">
        <v>99564.22</v>
      </c>
      <c r="I68">
        <v>0</v>
      </c>
      <c r="J68" t="str">
        <f t="shared" si="5"/>
        <v>High</v>
      </c>
      <c r="K68" t="str">
        <f t="shared" si="6"/>
        <v>Normal</v>
      </c>
      <c r="L68">
        <f t="shared" si="7"/>
        <v>1</v>
      </c>
      <c r="M68">
        <f t="shared" si="8"/>
        <v>1</v>
      </c>
      <c r="N68" s="6">
        <f t="shared" si="9"/>
        <v>45696</v>
      </c>
    </row>
    <row r="69" spans="1:14" x14ac:dyDescent="0.3">
      <c r="A69">
        <v>916</v>
      </c>
      <c r="B69">
        <v>10092</v>
      </c>
      <c r="C69" t="s">
        <v>939</v>
      </c>
      <c r="D69" t="s">
        <v>15</v>
      </c>
      <c r="E69" t="s">
        <v>24</v>
      </c>
      <c r="F69" t="s">
        <v>12</v>
      </c>
      <c r="G69" t="s">
        <v>13</v>
      </c>
      <c r="H69">
        <v>1148.31</v>
      </c>
      <c r="I69">
        <v>0</v>
      </c>
      <c r="J69" t="str">
        <f t="shared" si="5"/>
        <v>High</v>
      </c>
      <c r="K69" t="str">
        <f t="shared" si="6"/>
        <v>Normal</v>
      </c>
      <c r="L69">
        <f t="shared" si="7"/>
        <v>1</v>
      </c>
      <c r="M69">
        <f t="shared" si="8"/>
        <v>1</v>
      </c>
      <c r="N69" s="6">
        <f t="shared" si="9"/>
        <v>45696</v>
      </c>
    </row>
    <row r="70" spans="1:14" x14ac:dyDescent="0.3">
      <c r="A70">
        <v>917</v>
      </c>
      <c r="B70">
        <v>10031</v>
      </c>
      <c r="C70" t="s">
        <v>940</v>
      </c>
      <c r="D70" t="s">
        <v>15</v>
      </c>
      <c r="E70" t="s">
        <v>16</v>
      </c>
      <c r="F70" t="s">
        <v>12</v>
      </c>
      <c r="G70" t="s">
        <v>31</v>
      </c>
      <c r="H70">
        <v>89517.02</v>
      </c>
      <c r="I70">
        <v>0</v>
      </c>
      <c r="J70" t="str">
        <f t="shared" si="5"/>
        <v>High</v>
      </c>
      <c r="K70" t="str">
        <f t="shared" si="6"/>
        <v>Normal</v>
      </c>
      <c r="L70">
        <f t="shared" si="7"/>
        <v>1</v>
      </c>
      <c r="M70">
        <f t="shared" si="8"/>
        <v>1</v>
      </c>
      <c r="N70" s="6">
        <f t="shared" si="9"/>
        <v>45696</v>
      </c>
    </row>
    <row r="71" spans="1:14" x14ac:dyDescent="0.3">
      <c r="A71">
        <v>918</v>
      </c>
      <c r="B71">
        <v>10049</v>
      </c>
      <c r="C71" t="s">
        <v>941</v>
      </c>
      <c r="D71" t="s">
        <v>20</v>
      </c>
      <c r="E71" t="s">
        <v>24</v>
      </c>
      <c r="F71" t="s">
        <v>12</v>
      </c>
      <c r="G71" t="s">
        <v>21</v>
      </c>
      <c r="H71">
        <v>14999.17</v>
      </c>
      <c r="I71">
        <v>0</v>
      </c>
      <c r="J71" t="str">
        <f t="shared" si="5"/>
        <v>High</v>
      </c>
      <c r="K71" t="str">
        <f t="shared" si="6"/>
        <v>Normal</v>
      </c>
      <c r="L71">
        <f t="shared" si="7"/>
        <v>1</v>
      </c>
      <c r="M71">
        <f t="shared" si="8"/>
        <v>1</v>
      </c>
      <c r="N71" s="6">
        <f t="shared" si="9"/>
        <v>45696</v>
      </c>
    </row>
    <row r="72" spans="1:14" x14ac:dyDescent="0.3">
      <c r="A72">
        <v>919</v>
      </c>
      <c r="B72">
        <v>10060</v>
      </c>
      <c r="C72" t="s">
        <v>942</v>
      </c>
      <c r="D72" t="s">
        <v>10</v>
      </c>
      <c r="E72" t="s">
        <v>16</v>
      </c>
      <c r="F72" t="s">
        <v>12</v>
      </c>
      <c r="G72" t="s">
        <v>31</v>
      </c>
      <c r="H72">
        <v>78613.94</v>
      </c>
      <c r="I72">
        <v>0</v>
      </c>
      <c r="J72" t="str">
        <f t="shared" si="5"/>
        <v>High</v>
      </c>
      <c r="K72" t="str">
        <f t="shared" si="6"/>
        <v>Normal</v>
      </c>
      <c r="L72">
        <f t="shared" si="7"/>
        <v>1</v>
      </c>
      <c r="M72">
        <f t="shared" si="8"/>
        <v>1</v>
      </c>
      <c r="N72" s="6">
        <f t="shared" si="9"/>
        <v>45696</v>
      </c>
    </row>
    <row r="73" spans="1:14" x14ac:dyDescent="0.3">
      <c r="A73">
        <v>920</v>
      </c>
      <c r="B73">
        <v>10050</v>
      </c>
      <c r="C73" t="s">
        <v>943</v>
      </c>
      <c r="D73" t="s">
        <v>23</v>
      </c>
      <c r="E73" t="s">
        <v>16</v>
      </c>
      <c r="F73" t="s">
        <v>12</v>
      </c>
      <c r="G73" t="s">
        <v>18</v>
      </c>
      <c r="H73">
        <v>61831.360000000001</v>
      </c>
      <c r="I73">
        <v>0</v>
      </c>
      <c r="J73" t="str">
        <f t="shared" si="5"/>
        <v>High</v>
      </c>
      <c r="K73" t="str">
        <f t="shared" si="6"/>
        <v>Normal</v>
      </c>
      <c r="L73">
        <f t="shared" si="7"/>
        <v>1</v>
      </c>
      <c r="M73">
        <f t="shared" si="8"/>
        <v>1</v>
      </c>
      <c r="N73" s="6">
        <f t="shared" si="9"/>
        <v>45696</v>
      </c>
    </row>
    <row r="74" spans="1:14" x14ac:dyDescent="0.3">
      <c r="A74">
        <v>921</v>
      </c>
      <c r="B74">
        <v>10018</v>
      </c>
      <c r="C74" t="s">
        <v>944</v>
      </c>
      <c r="D74" t="s">
        <v>29</v>
      </c>
      <c r="E74" t="s">
        <v>16</v>
      </c>
      <c r="F74" t="s">
        <v>12</v>
      </c>
      <c r="G74" t="s">
        <v>25</v>
      </c>
      <c r="H74">
        <v>34250.54</v>
      </c>
      <c r="I74">
        <v>0</v>
      </c>
      <c r="J74" t="str">
        <f t="shared" si="5"/>
        <v>High</v>
      </c>
      <c r="K74" t="str">
        <f t="shared" si="6"/>
        <v>Normal</v>
      </c>
      <c r="L74">
        <f t="shared" si="7"/>
        <v>1</v>
      </c>
      <c r="M74">
        <f t="shared" si="8"/>
        <v>1</v>
      </c>
      <c r="N74" s="6">
        <f t="shared" si="9"/>
        <v>45696</v>
      </c>
    </row>
    <row r="75" spans="1:14" x14ac:dyDescent="0.3">
      <c r="A75">
        <v>922</v>
      </c>
      <c r="B75">
        <v>10020</v>
      </c>
      <c r="C75" t="s">
        <v>945</v>
      </c>
      <c r="D75" t="s">
        <v>29</v>
      </c>
      <c r="E75" t="s">
        <v>11</v>
      </c>
      <c r="F75" t="s">
        <v>12</v>
      </c>
      <c r="G75" t="s">
        <v>21</v>
      </c>
      <c r="H75">
        <v>87400.11</v>
      </c>
      <c r="I75">
        <v>1</v>
      </c>
      <c r="J75" t="str">
        <f t="shared" si="5"/>
        <v>High</v>
      </c>
      <c r="K75" t="str">
        <f t="shared" si="6"/>
        <v>High Risk</v>
      </c>
      <c r="L75">
        <f t="shared" si="7"/>
        <v>1</v>
      </c>
      <c r="M75">
        <f t="shared" si="8"/>
        <v>1</v>
      </c>
      <c r="N75" s="6">
        <f t="shared" si="9"/>
        <v>45696</v>
      </c>
    </row>
    <row r="76" spans="1:14" x14ac:dyDescent="0.3">
      <c r="A76">
        <v>923</v>
      </c>
      <c r="B76">
        <v>10004</v>
      </c>
      <c r="C76" t="s">
        <v>946</v>
      </c>
      <c r="D76" t="s">
        <v>15</v>
      </c>
      <c r="E76" t="s">
        <v>16</v>
      </c>
      <c r="F76" t="s">
        <v>12</v>
      </c>
      <c r="G76" t="s">
        <v>13</v>
      </c>
      <c r="H76">
        <v>1389.43</v>
      </c>
      <c r="I76">
        <v>0</v>
      </c>
      <c r="J76" t="str">
        <f t="shared" si="5"/>
        <v>High</v>
      </c>
      <c r="K76" t="str">
        <f t="shared" si="6"/>
        <v>Normal</v>
      </c>
      <c r="L76">
        <f t="shared" si="7"/>
        <v>1</v>
      </c>
      <c r="M76">
        <f t="shared" si="8"/>
        <v>1</v>
      </c>
      <c r="N76" s="6">
        <f t="shared" si="9"/>
        <v>45696</v>
      </c>
    </row>
    <row r="77" spans="1:14" x14ac:dyDescent="0.3">
      <c r="A77">
        <v>924</v>
      </c>
      <c r="B77">
        <v>10081</v>
      </c>
      <c r="C77" t="s">
        <v>947</v>
      </c>
      <c r="D77" t="s">
        <v>20</v>
      </c>
      <c r="E77" t="s">
        <v>11</v>
      </c>
      <c r="F77" t="s">
        <v>12</v>
      </c>
      <c r="G77" t="s">
        <v>18</v>
      </c>
      <c r="H77">
        <v>22746.400000000001</v>
      </c>
      <c r="I77">
        <v>0</v>
      </c>
      <c r="J77" t="str">
        <f t="shared" si="5"/>
        <v>High</v>
      </c>
      <c r="K77" t="str">
        <f t="shared" si="6"/>
        <v>Normal</v>
      </c>
      <c r="L77">
        <f t="shared" si="7"/>
        <v>1</v>
      </c>
      <c r="M77">
        <f t="shared" si="8"/>
        <v>1</v>
      </c>
      <c r="N77" s="6">
        <f t="shared" si="9"/>
        <v>45696</v>
      </c>
    </row>
    <row r="78" spans="1:14" x14ac:dyDescent="0.3">
      <c r="A78">
        <v>925</v>
      </c>
      <c r="B78">
        <v>10091</v>
      </c>
      <c r="C78" t="s">
        <v>948</v>
      </c>
      <c r="D78" t="s">
        <v>20</v>
      </c>
      <c r="E78" t="s">
        <v>24</v>
      </c>
      <c r="F78" t="s">
        <v>12</v>
      </c>
      <c r="G78" t="s">
        <v>25</v>
      </c>
      <c r="H78">
        <v>56732.59</v>
      </c>
      <c r="I78">
        <v>0</v>
      </c>
      <c r="J78" t="str">
        <f t="shared" si="5"/>
        <v>High</v>
      </c>
      <c r="K78" t="str">
        <f t="shared" si="6"/>
        <v>Normal</v>
      </c>
      <c r="L78">
        <f t="shared" si="7"/>
        <v>1</v>
      </c>
      <c r="M78">
        <f t="shared" si="8"/>
        <v>1</v>
      </c>
      <c r="N78" s="6">
        <f t="shared" si="9"/>
        <v>45696</v>
      </c>
    </row>
    <row r="79" spans="1:14" x14ac:dyDescent="0.3">
      <c r="A79">
        <v>926</v>
      </c>
      <c r="B79">
        <v>10041</v>
      </c>
      <c r="C79" t="s">
        <v>949</v>
      </c>
      <c r="D79" t="s">
        <v>29</v>
      </c>
      <c r="E79" t="s">
        <v>16</v>
      </c>
      <c r="F79" t="s">
        <v>12</v>
      </c>
      <c r="G79" t="s">
        <v>31</v>
      </c>
      <c r="H79">
        <v>35219.07</v>
      </c>
      <c r="I79">
        <v>0</v>
      </c>
      <c r="J79" t="str">
        <f t="shared" si="5"/>
        <v>High</v>
      </c>
      <c r="K79" t="str">
        <f t="shared" si="6"/>
        <v>Normal</v>
      </c>
      <c r="L79">
        <f t="shared" si="7"/>
        <v>1</v>
      </c>
      <c r="M79">
        <f t="shared" si="8"/>
        <v>1</v>
      </c>
      <c r="N79" s="6">
        <f t="shared" si="9"/>
        <v>45696</v>
      </c>
    </row>
    <row r="80" spans="1:14" x14ac:dyDescent="0.3">
      <c r="A80">
        <v>927</v>
      </c>
      <c r="B80">
        <v>10060</v>
      </c>
      <c r="C80" t="s">
        <v>950</v>
      </c>
      <c r="D80" t="s">
        <v>23</v>
      </c>
      <c r="E80" t="s">
        <v>24</v>
      </c>
      <c r="F80" t="s">
        <v>12</v>
      </c>
      <c r="G80" t="s">
        <v>25</v>
      </c>
      <c r="H80">
        <v>61076.71</v>
      </c>
      <c r="I80">
        <v>0</v>
      </c>
      <c r="J80" t="str">
        <f t="shared" si="5"/>
        <v>High</v>
      </c>
      <c r="K80" t="str">
        <f t="shared" si="6"/>
        <v>Normal</v>
      </c>
      <c r="L80">
        <f t="shared" si="7"/>
        <v>1</v>
      </c>
      <c r="M80">
        <f t="shared" si="8"/>
        <v>1</v>
      </c>
      <c r="N80" s="6">
        <f t="shared" si="9"/>
        <v>45696</v>
      </c>
    </row>
    <row r="81" spans="1:14" x14ac:dyDescent="0.3">
      <c r="A81">
        <v>928</v>
      </c>
      <c r="B81">
        <v>10021</v>
      </c>
      <c r="C81" t="s">
        <v>951</v>
      </c>
      <c r="D81" t="s">
        <v>10</v>
      </c>
      <c r="E81" t="s">
        <v>24</v>
      </c>
      <c r="F81" t="s">
        <v>12</v>
      </c>
      <c r="G81" t="s">
        <v>18</v>
      </c>
      <c r="H81">
        <v>2508.61</v>
      </c>
      <c r="I81">
        <v>0</v>
      </c>
      <c r="J81" t="str">
        <f t="shared" si="5"/>
        <v>High</v>
      </c>
      <c r="K81" t="str">
        <f t="shared" si="6"/>
        <v>Normal</v>
      </c>
      <c r="L81">
        <f t="shared" si="7"/>
        <v>1</v>
      </c>
      <c r="M81">
        <f t="shared" si="8"/>
        <v>1</v>
      </c>
      <c r="N81" s="6">
        <f t="shared" si="9"/>
        <v>45696</v>
      </c>
    </row>
    <row r="82" spans="1:14" x14ac:dyDescent="0.3">
      <c r="A82">
        <v>929</v>
      </c>
      <c r="B82">
        <v>10020</v>
      </c>
      <c r="C82" t="s">
        <v>952</v>
      </c>
      <c r="D82" t="s">
        <v>23</v>
      </c>
      <c r="E82" t="s">
        <v>16</v>
      </c>
      <c r="F82" t="s">
        <v>12</v>
      </c>
      <c r="G82" t="s">
        <v>18</v>
      </c>
      <c r="H82">
        <v>11734.25</v>
      </c>
      <c r="I82">
        <v>0</v>
      </c>
      <c r="J82" t="str">
        <f t="shared" si="5"/>
        <v>High</v>
      </c>
      <c r="K82" t="str">
        <f t="shared" si="6"/>
        <v>Normal</v>
      </c>
      <c r="L82">
        <f t="shared" si="7"/>
        <v>1</v>
      </c>
      <c r="M82">
        <f t="shared" si="8"/>
        <v>1</v>
      </c>
      <c r="N82" s="6">
        <f t="shared" si="9"/>
        <v>45696</v>
      </c>
    </row>
    <row r="83" spans="1:14" x14ac:dyDescent="0.3">
      <c r="A83">
        <v>930</v>
      </c>
      <c r="B83">
        <v>10069</v>
      </c>
      <c r="C83" t="s">
        <v>953</v>
      </c>
      <c r="D83" t="s">
        <v>10</v>
      </c>
      <c r="E83" t="s">
        <v>11</v>
      </c>
      <c r="F83" t="s">
        <v>12</v>
      </c>
      <c r="G83" t="s">
        <v>25</v>
      </c>
      <c r="H83">
        <v>12796.91</v>
      </c>
      <c r="I83">
        <v>0</v>
      </c>
      <c r="J83" t="str">
        <f t="shared" si="5"/>
        <v>High</v>
      </c>
      <c r="K83" t="str">
        <f t="shared" si="6"/>
        <v>Normal</v>
      </c>
      <c r="L83">
        <f t="shared" si="7"/>
        <v>1</v>
      </c>
      <c r="M83">
        <f t="shared" si="8"/>
        <v>1</v>
      </c>
      <c r="N83" s="6">
        <f t="shared" si="9"/>
        <v>45696</v>
      </c>
    </row>
    <row r="84" spans="1:14" x14ac:dyDescent="0.3">
      <c r="A84">
        <v>931</v>
      </c>
      <c r="B84">
        <v>10000</v>
      </c>
      <c r="C84" t="s">
        <v>954</v>
      </c>
      <c r="D84" t="s">
        <v>29</v>
      </c>
      <c r="E84" t="s">
        <v>16</v>
      </c>
      <c r="F84" t="s">
        <v>17</v>
      </c>
      <c r="G84" t="s">
        <v>31</v>
      </c>
      <c r="H84">
        <v>19009.439999999999</v>
      </c>
      <c r="I84">
        <v>0</v>
      </c>
      <c r="J84" t="str">
        <f t="shared" si="5"/>
        <v>High</v>
      </c>
      <c r="K84" t="str">
        <f t="shared" si="6"/>
        <v>Normal</v>
      </c>
      <c r="L84">
        <f t="shared" si="7"/>
        <v>1</v>
      </c>
      <c r="M84">
        <f t="shared" si="8"/>
        <v>1</v>
      </c>
      <c r="N84" s="6">
        <f t="shared" si="9"/>
        <v>45696</v>
      </c>
    </row>
    <row r="85" spans="1:14" x14ac:dyDescent="0.3">
      <c r="A85">
        <v>932</v>
      </c>
      <c r="B85">
        <v>10004</v>
      </c>
      <c r="C85" t="s">
        <v>955</v>
      </c>
      <c r="D85" t="s">
        <v>10</v>
      </c>
      <c r="E85" t="s">
        <v>24</v>
      </c>
      <c r="F85" t="s">
        <v>12</v>
      </c>
      <c r="G85" t="s">
        <v>25</v>
      </c>
      <c r="H85">
        <v>45987.21</v>
      </c>
      <c r="I85">
        <v>0</v>
      </c>
      <c r="J85" t="str">
        <f t="shared" si="5"/>
        <v>High</v>
      </c>
      <c r="K85" t="str">
        <f t="shared" si="6"/>
        <v>Normal</v>
      </c>
      <c r="L85">
        <f t="shared" si="7"/>
        <v>1</v>
      </c>
      <c r="M85">
        <f t="shared" si="8"/>
        <v>1</v>
      </c>
      <c r="N85" s="6">
        <f t="shared" si="9"/>
        <v>45696</v>
      </c>
    </row>
    <row r="86" spans="1:14" x14ac:dyDescent="0.3">
      <c r="A86">
        <v>933</v>
      </c>
      <c r="B86">
        <v>10011</v>
      </c>
      <c r="C86" t="s">
        <v>956</v>
      </c>
      <c r="D86" t="s">
        <v>20</v>
      </c>
      <c r="E86" t="s">
        <v>24</v>
      </c>
      <c r="F86" t="s">
        <v>17</v>
      </c>
      <c r="G86" t="s">
        <v>18</v>
      </c>
      <c r="H86">
        <v>75237.66</v>
      </c>
      <c r="I86">
        <v>0</v>
      </c>
      <c r="J86" t="str">
        <f t="shared" si="5"/>
        <v>High</v>
      </c>
      <c r="K86" t="str">
        <f t="shared" si="6"/>
        <v>Normal</v>
      </c>
      <c r="L86">
        <f t="shared" si="7"/>
        <v>1</v>
      </c>
      <c r="M86">
        <f t="shared" si="8"/>
        <v>1</v>
      </c>
      <c r="N86" s="6">
        <f t="shared" si="9"/>
        <v>45696</v>
      </c>
    </row>
    <row r="87" spans="1:14" x14ac:dyDescent="0.3">
      <c r="A87">
        <v>934</v>
      </c>
      <c r="B87">
        <v>10089</v>
      </c>
      <c r="C87" t="s">
        <v>957</v>
      </c>
      <c r="D87" t="s">
        <v>15</v>
      </c>
      <c r="E87" t="s">
        <v>16</v>
      </c>
      <c r="F87" t="s">
        <v>12</v>
      </c>
      <c r="G87" t="s">
        <v>18</v>
      </c>
      <c r="H87">
        <v>90563.33</v>
      </c>
      <c r="I87">
        <v>0</v>
      </c>
      <c r="J87" t="str">
        <f t="shared" si="5"/>
        <v>High</v>
      </c>
      <c r="K87" t="str">
        <f t="shared" si="6"/>
        <v>Normal</v>
      </c>
      <c r="L87">
        <f t="shared" si="7"/>
        <v>1</v>
      </c>
      <c r="M87">
        <f t="shared" si="8"/>
        <v>1</v>
      </c>
      <c r="N87" s="6">
        <f t="shared" si="9"/>
        <v>45696</v>
      </c>
    </row>
    <row r="88" spans="1:14" x14ac:dyDescent="0.3">
      <c r="A88">
        <v>935</v>
      </c>
      <c r="B88">
        <v>10045</v>
      </c>
      <c r="C88" t="s">
        <v>958</v>
      </c>
      <c r="D88" t="s">
        <v>15</v>
      </c>
      <c r="E88" t="s">
        <v>11</v>
      </c>
      <c r="F88" t="s">
        <v>12</v>
      </c>
      <c r="G88" t="s">
        <v>13</v>
      </c>
      <c r="H88">
        <v>83553.72</v>
      </c>
      <c r="I88">
        <v>1</v>
      </c>
      <c r="J88" t="str">
        <f t="shared" si="5"/>
        <v>High</v>
      </c>
      <c r="K88" t="str">
        <f t="shared" si="6"/>
        <v>High Risk</v>
      </c>
      <c r="L88">
        <f t="shared" si="7"/>
        <v>1</v>
      </c>
      <c r="M88">
        <f t="shared" si="8"/>
        <v>1</v>
      </c>
      <c r="N88" s="6">
        <f t="shared" si="9"/>
        <v>45696</v>
      </c>
    </row>
    <row r="89" spans="1:14" x14ac:dyDescent="0.3">
      <c r="A89">
        <v>936</v>
      </c>
      <c r="B89">
        <v>10033</v>
      </c>
      <c r="C89" t="s">
        <v>959</v>
      </c>
      <c r="D89" t="s">
        <v>29</v>
      </c>
      <c r="E89" t="s">
        <v>11</v>
      </c>
      <c r="F89" t="s">
        <v>17</v>
      </c>
      <c r="G89" t="s">
        <v>13</v>
      </c>
      <c r="H89">
        <v>19769.099999999999</v>
      </c>
      <c r="I89">
        <v>0</v>
      </c>
      <c r="J89" t="str">
        <f t="shared" si="5"/>
        <v>High</v>
      </c>
      <c r="K89" t="str">
        <f t="shared" si="6"/>
        <v>Normal</v>
      </c>
      <c r="L89">
        <f t="shared" si="7"/>
        <v>1</v>
      </c>
      <c r="M89">
        <f t="shared" si="8"/>
        <v>1</v>
      </c>
      <c r="N89" s="6">
        <f t="shared" si="9"/>
        <v>45696</v>
      </c>
    </row>
    <row r="90" spans="1:14" x14ac:dyDescent="0.3">
      <c r="A90">
        <v>889</v>
      </c>
      <c r="B90">
        <v>10073</v>
      </c>
      <c r="C90" t="s">
        <v>912</v>
      </c>
      <c r="D90" t="s">
        <v>23</v>
      </c>
      <c r="E90" t="s">
        <v>24</v>
      </c>
      <c r="F90" t="s">
        <v>12</v>
      </c>
      <c r="G90" t="s">
        <v>13</v>
      </c>
      <c r="H90">
        <v>17291.39</v>
      </c>
      <c r="I90">
        <v>0</v>
      </c>
      <c r="J90" t="str">
        <f t="shared" si="5"/>
        <v>High</v>
      </c>
      <c r="K90" t="str">
        <f t="shared" si="6"/>
        <v>Normal</v>
      </c>
      <c r="L90">
        <f t="shared" si="7"/>
        <v>1</v>
      </c>
      <c r="M90">
        <f t="shared" si="8"/>
        <v>1</v>
      </c>
      <c r="N90" s="6">
        <f t="shared" si="9"/>
        <v>45695</v>
      </c>
    </row>
    <row r="91" spans="1:14" x14ac:dyDescent="0.3">
      <c r="A91">
        <v>890</v>
      </c>
      <c r="B91">
        <v>10016</v>
      </c>
      <c r="C91" t="s">
        <v>913</v>
      </c>
      <c r="D91" t="s">
        <v>23</v>
      </c>
      <c r="E91" t="s">
        <v>16</v>
      </c>
      <c r="F91" t="s">
        <v>12</v>
      </c>
      <c r="G91" t="s">
        <v>25</v>
      </c>
      <c r="H91">
        <v>87889.05</v>
      </c>
      <c r="I91">
        <v>0</v>
      </c>
      <c r="J91" t="str">
        <f t="shared" si="5"/>
        <v>High</v>
      </c>
      <c r="K91" t="str">
        <f t="shared" si="6"/>
        <v>Normal</v>
      </c>
      <c r="L91">
        <f t="shared" si="7"/>
        <v>1</v>
      </c>
      <c r="M91">
        <f t="shared" si="8"/>
        <v>1</v>
      </c>
      <c r="N91" s="6">
        <f t="shared" si="9"/>
        <v>45695</v>
      </c>
    </row>
    <row r="92" spans="1:14" x14ac:dyDescent="0.3">
      <c r="A92">
        <v>891</v>
      </c>
      <c r="B92">
        <v>10083</v>
      </c>
      <c r="C92" t="s">
        <v>914</v>
      </c>
      <c r="D92" t="s">
        <v>10</v>
      </c>
      <c r="E92" t="s">
        <v>11</v>
      </c>
      <c r="F92" t="s">
        <v>17</v>
      </c>
      <c r="G92" t="s">
        <v>13</v>
      </c>
      <c r="H92">
        <v>55879.4</v>
      </c>
      <c r="I92">
        <v>1</v>
      </c>
      <c r="J92" t="str">
        <f t="shared" si="5"/>
        <v>High</v>
      </c>
      <c r="K92" t="str">
        <f t="shared" si="6"/>
        <v>High Risk</v>
      </c>
      <c r="L92">
        <f t="shared" si="7"/>
        <v>1</v>
      </c>
      <c r="M92">
        <f t="shared" si="8"/>
        <v>1</v>
      </c>
      <c r="N92" s="6">
        <f t="shared" si="9"/>
        <v>45695</v>
      </c>
    </row>
    <row r="93" spans="1:14" x14ac:dyDescent="0.3">
      <c r="A93">
        <v>892</v>
      </c>
      <c r="B93">
        <v>10087</v>
      </c>
      <c r="C93" t="s">
        <v>915</v>
      </c>
      <c r="D93" t="s">
        <v>29</v>
      </c>
      <c r="E93" t="s">
        <v>16</v>
      </c>
      <c r="F93" t="s">
        <v>17</v>
      </c>
      <c r="G93" t="s">
        <v>13</v>
      </c>
      <c r="H93">
        <v>87006.79</v>
      </c>
      <c r="I93">
        <v>0</v>
      </c>
      <c r="J93" t="str">
        <f t="shared" si="5"/>
        <v>High</v>
      </c>
      <c r="K93" t="str">
        <f t="shared" si="6"/>
        <v>Normal</v>
      </c>
      <c r="L93">
        <f t="shared" si="7"/>
        <v>1</v>
      </c>
      <c r="M93">
        <f t="shared" si="8"/>
        <v>1</v>
      </c>
      <c r="N93" s="6">
        <f t="shared" si="9"/>
        <v>45695</v>
      </c>
    </row>
    <row r="94" spans="1:14" x14ac:dyDescent="0.3">
      <c r="A94">
        <v>893</v>
      </c>
      <c r="B94">
        <v>10068</v>
      </c>
      <c r="C94" t="s">
        <v>916</v>
      </c>
      <c r="D94" t="s">
        <v>20</v>
      </c>
      <c r="E94" t="s">
        <v>24</v>
      </c>
      <c r="F94" t="s">
        <v>12</v>
      </c>
      <c r="G94" t="s">
        <v>13</v>
      </c>
      <c r="H94">
        <v>37217.5</v>
      </c>
      <c r="I94">
        <v>0</v>
      </c>
      <c r="J94" t="str">
        <f t="shared" si="5"/>
        <v>High</v>
      </c>
      <c r="K94" t="str">
        <f t="shared" si="6"/>
        <v>Normal</v>
      </c>
      <c r="L94">
        <f t="shared" si="7"/>
        <v>1</v>
      </c>
      <c r="M94">
        <f t="shared" si="8"/>
        <v>1</v>
      </c>
      <c r="N94" s="6">
        <f t="shared" si="9"/>
        <v>45695</v>
      </c>
    </row>
    <row r="95" spans="1:14" x14ac:dyDescent="0.3">
      <c r="A95">
        <v>894</v>
      </c>
      <c r="B95">
        <v>10033</v>
      </c>
      <c r="C95" t="s">
        <v>917</v>
      </c>
      <c r="D95" t="s">
        <v>23</v>
      </c>
      <c r="E95" t="s">
        <v>11</v>
      </c>
      <c r="F95" t="s">
        <v>17</v>
      </c>
      <c r="G95" t="s">
        <v>25</v>
      </c>
      <c r="H95">
        <v>61478.559999999998</v>
      </c>
      <c r="I95">
        <v>1</v>
      </c>
      <c r="J95" t="str">
        <f t="shared" si="5"/>
        <v>High</v>
      </c>
      <c r="K95" t="str">
        <f t="shared" si="6"/>
        <v>High Risk</v>
      </c>
      <c r="L95">
        <f t="shared" si="7"/>
        <v>1</v>
      </c>
      <c r="M95">
        <f t="shared" si="8"/>
        <v>1</v>
      </c>
      <c r="N95" s="6">
        <f t="shared" si="9"/>
        <v>45695</v>
      </c>
    </row>
    <row r="96" spans="1:14" x14ac:dyDescent="0.3">
      <c r="A96">
        <v>895</v>
      </c>
      <c r="B96">
        <v>10005</v>
      </c>
      <c r="C96" t="s">
        <v>918</v>
      </c>
      <c r="D96" t="s">
        <v>29</v>
      </c>
      <c r="E96" t="s">
        <v>11</v>
      </c>
      <c r="F96" t="s">
        <v>17</v>
      </c>
      <c r="G96" t="s">
        <v>21</v>
      </c>
      <c r="H96">
        <v>52413.98</v>
      </c>
      <c r="I96">
        <v>1</v>
      </c>
      <c r="J96" t="str">
        <f t="shared" si="5"/>
        <v>High</v>
      </c>
      <c r="K96" t="str">
        <f t="shared" si="6"/>
        <v>High Risk</v>
      </c>
      <c r="L96">
        <f t="shared" si="7"/>
        <v>1</v>
      </c>
      <c r="M96">
        <f t="shared" si="8"/>
        <v>1</v>
      </c>
      <c r="N96" s="6">
        <f t="shared" si="9"/>
        <v>45695</v>
      </c>
    </row>
    <row r="97" spans="1:14" x14ac:dyDescent="0.3">
      <c r="A97">
        <v>896</v>
      </c>
      <c r="B97">
        <v>10052</v>
      </c>
      <c r="C97" t="s">
        <v>919</v>
      </c>
      <c r="D97" t="s">
        <v>10</v>
      </c>
      <c r="E97" t="s">
        <v>24</v>
      </c>
      <c r="F97" t="s">
        <v>17</v>
      </c>
      <c r="G97" t="s">
        <v>21</v>
      </c>
      <c r="H97">
        <v>31980.44</v>
      </c>
      <c r="I97">
        <v>0</v>
      </c>
      <c r="J97" t="str">
        <f t="shared" si="5"/>
        <v>High</v>
      </c>
      <c r="K97" t="str">
        <f t="shared" si="6"/>
        <v>Normal</v>
      </c>
      <c r="L97">
        <f t="shared" si="7"/>
        <v>1</v>
      </c>
      <c r="M97">
        <f t="shared" si="8"/>
        <v>1</v>
      </c>
      <c r="N97" s="6">
        <f t="shared" si="9"/>
        <v>45695</v>
      </c>
    </row>
    <row r="98" spans="1:14" x14ac:dyDescent="0.3">
      <c r="A98">
        <v>897</v>
      </c>
      <c r="B98">
        <v>10065</v>
      </c>
      <c r="C98" t="s">
        <v>920</v>
      </c>
      <c r="D98" t="s">
        <v>29</v>
      </c>
      <c r="E98" t="s">
        <v>24</v>
      </c>
      <c r="F98" t="s">
        <v>17</v>
      </c>
      <c r="G98" t="s">
        <v>31</v>
      </c>
      <c r="H98">
        <v>47044.55</v>
      </c>
      <c r="I98">
        <v>0</v>
      </c>
      <c r="J98" t="str">
        <f t="shared" si="5"/>
        <v>High</v>
      </c>
      <c r="K98" t="str">
        <f t="shared" si="6"/>
        <v>Normal</v>
      </c>
      <c r="L98">
        <f t="shared" si="7"/>
        <v>1</v>
      </c>
      <c r="M98">
        <f t="shared" si="8"/>
        <v>1</v>
      </c>
      <c r="N98" s="6">
        <f t="shared" si="9"/>
        <v>45695</v>
      </c>
    </row>
    <row r="99" spans="1:14" x14ac:dyDescent="0.3">
      <c r="A99">
        <v>898</v>
      </c>
      <c r="B99">
        <v>10076</v>
      </c>
      <c r="C99" t="s">
        <v>921</v>
      </c>
      <c r="D99" t="s">
        <v>15</v>
      </c>
      <c r="E99" t="s">
        <v>24</v>
      </c>
      <c r="F99" t="s">
        <v>17</v>
      </c>
      <c r="G99" t="s">
        <v>31</v>
      </c>
      <c r="H99">
        <v>50298.84</v>
      </c>
      <c r="I99">
        <v>0</v>
      </c>
      <c r="J99" t="str">
        <f t="shared" si="5"/>
        <v>High</v>
      </c>
      <c r="K99" t="str">
        <f t="shared" si="6"/>
        <v>Normal</v>
      </c>
      <c r="L99">
        <f t="shared" si="7"/>
        <v>1</v>
      </c>
      <c r="M99">
        <f t="shared" si="8"/>
        <v>1</v>
      </c>
      <c r="N99" s="6">
        <f t="shared" si="9"/>
        <v>45695</v>
      </c>
    </row>
    <row r="100" spans="1:14" x14ac:dyDescent="0.3">
      <c r="A100">
        <v>899</v>
      </c>
      <c r="B100">
        <v>10042</v>
      </c>
      <c r="C100" t="s">
        <v>922</v>
      </c>
      <c r="D100" t="s">
        <v>23</v>
      </c>
      <c r="E100" t="s">
        <v>24</v>
      </c>
      <c r="F100" t="s">
        <v>17</v>
      </c>
      <c r="G100" t="s">
        <v>25</v>
      </c>
      <c r="H100">
        <v>20157.02</v>
      </c>
      <c r="I100">
        <v>0</v>
      </c>
      <c r="J100" t="str">
        <f t="shared" si="5"/>
        <v>High</v>
      </c>
      <c r="K100" t="str">
        <f t="shared" si="6"/>
        <v>Normal</v>
      </c>
      <c r="L100">
        <f t="shared" si="7"/>
        <v>1</v>
      </c>
      <c r="M100">
        <f t="shared" si="8"/>
        <v>1</v>
      </c>
      <c r="N100" s="6">
        <f t="shared" si="9"/>
        <v>45695</v>
      </c>
    </row>
    <row r="101" spans="1:14" x14ac:dyDescent="0.3">
      <c r="A101">
        <v>900</v>
      </c>
      <c r="B101">
        <v>10074</v>
      </c>
      <c r="C101" t="s">
        <v>923</v>
      </c>
      <c r="D101" t="s">
        <v>10</v>
      </c>
      <c r="E101" t="s">
        <v>24</v>
      </c>
      <c r="F101" t="s">
        <v>17</v>
      </c>
      <c r="G101" t="s">
        <v>18</v>
      </c>
      <c r="H101">
        <v>31569.54</v>
      </c>
      <c r="I101">
        <v>0</v>
      </c>
      <c r="J101" t="str">
        <f t="shared" si="5"/>
        <v>High</v>
      </c>
      <c r="K101" t="str">
        <f t="shared" si="6"/>
        <v>Normal</v>
      </c>
      <c r="L101">
        <f t="shared" si="7"/>
        <v>1</v>
      </c>
      <c r="M101">
        <f t="shared" si="8"/>
        <v>1</v>
      </c>
      <c r="N101" s="6">
        <f t="shared" si="9"/>
        <v>45695</v>
      </c>
    </row>
    <row r="102" spans="1:14" x14ac:dyDescent="0.3">
      <c r="A102">
        <v>901</v>
      </c>
      <c r="B102">
        <v>10022</v>
      </c>
      <c r="C102" t="s">
        <v>924</v>
      </c>
      <c r="D102" t="s">
        <v>20</v>
      </c>
      <c r="E102" t="s">
        <v>11</v>
      </c>
      <c r="F102" t="s">
        <v>12</v>
      </c>
      <c r="G102" t="s">
        <v>21</v>
      </c>
      <c r="H102">
        <v>79161.83</v>
      </c>
      <c r="I102">
        <v>1</v>
      </c>
      <c r="J102" t="str">
        <f t="shared" si="5"/>
        <v>High</v>
      </c>
      <c r="K102" t="str">
        <f t="shared" si="6"/>
        <v>High Risk</v>
      </c>
      <c r="L102">
        <f t="shared" si="7"/>
        <v>1</v>
      </c>
      <c r="M102">
        <f t="shared" si="8"/>
        <v>1</v>
      </c>
      <c r="N102" s="6">
        <f t="shared" si="9"/>
        <v>45695</v>
      </c>
    </row>
    <row r="103" spans="1:14" x14ac:dyDescent="0.3">
      <c r="A103">
        <v>902</v>
      </c>
      <c r="B103">
        <v>10054</v>
      </c>
      <c r="C103" t="s">
        <v>925</v>
      </c>
      <c r="D103" t="s">
        <v>10</v>
      </c>
      <c r="E103" t="s">
        <v>24</v>
      </c>
      <c r="F103" t="s">
        <v>17</v>
      </c>
      <c r="G103" t="s">
        <v>31</v>
      </c>
      <c r="H103">
        <v>91587.25</v>
      </c>
      <c r="I103">
        <v>0</v>
      </c>
      <c r="J103" t="str">
        <f t="shared" si="5"/>
        <v>High</v>
      </c>
      <c r="K103" t="str">
        <f t="shared" si="6"/>
        <v>Normal</v>
      </c>
      <c r="L103">
        <f t="shared" si="7"/>
        <v>1</v>
      </c>
      <c r="M103">
        <f t="shared" si="8"/>
        <v>1</v>
      </c>
      <c r="N103" s="6">
        <f t="shared" si="9"/>
        <v>45695</v>
      </c>
    </row>
    <row r="104" spans="1:14" x14ac:dyDescent="0.3">
      <c r="A104">
        <v>903</v>
      </c>
      <c r="B104">
        <v>10079</v>
      </c>
      <c r="C104" t="s">
        <v>926</v>
      </c>
      <c r="D104" t="s">
        <v>20</v>
      </c>
      <c r="E104" t="s">
        <v>11</v>
      </c>
      <c r="F104" t="s">
        <v>17</v>
      </c>
      <c r="G104" t="s">
        <v>21</v>
      </c>
      <c r="H104">
        <v>36043.43</v>
      </c>
      <c r="I104">
        <v>0</v>
      </c>
      <c r="J104" t="str">
        <f t="shared" si="5"/>
        <v>High</v>
      </c>
      <c r="K104" t="str">
        <f t="shared" si="6"/>
        <v>Normal</v>
      </c>
      <c r="L104">
        <f t="shared" si="7"/>
        <v>1</v>
      </c>
      <c r="M104">
        <f t="shared" si="8"/>
        <v>1</v>
      </c>
      <c r="N104" s="6">
        <f t="shared" si="9"/>
        <v>45695</v>
      </c>
    </row>
    <row r="105" spans="1:14" x14ac:dyDescent="0.3">
      <c r="A105">
        <v>904</v>
      </c>
      <c r="B105">
        <v>10094</v>
      </c>
      <c r="C105" t="s">
        <v>927</v>
      </c>
      <c r="D105" t="s">
        <v>10</v>
      </c>
      <c r="E105" t="s">
        <v>11</v>
      </c>
      <c r="F105" t="s">
        <v>17</v>
      </c>
      <c r="G105" t="s">
        <v>25</v>
      </c>
      <c r="H105">
        <v>30766.53</v>
      </c>
      <c r="I105">
        <v>0</v>
      </c>
      <c r="J105" t="str">
        <f t="shared" si="5"/>
        <v>High</v>
      </c>
      <c r="K105" t="str">
        <f t="shared" si="6"/>
        <v>Normal</v>
      </c>
      <c r="L105">
        <f t="shared" si="7"/>
        <v>1</v>
      </c>
      <c r="M105">
        <f t="shared" si="8"/>
        <v>1</v>
      </c>
      <c r="N105" s="6">
        <f t="shared" si="9"/>
        <v>45695</v>
      </c>
    </row>
    <row r="106" spans="1:14" x14ac:dyDescent="0.3">
      <c r="A106">
        <v>905</v>
      </c>
      <c r="B106">
        <v>10074</v>
      </c>
      <c r="C106" t="s">
        <v>928</v>
      </c>
      <c r="D106" t="s">
        <v>29</v>
      </c>
      <c r="E106" t="s">
        <v>24</v>
      </c>
      <c r="F106" t="s">
        <v>17</v>
      </c>
      <c r="G106" t="s">
        <v>25</v>
      </c>
      <c r="H106">
        <v>19600.2</v>
      </c>
      <c r="I106">
        <v>0</v>
      </c>
      <c r="J106" t="str">
        <f t="shared" si="5"/>
        <v>High</v>
      </c>
      <c r="K106" t="str">
        <f t="shared" si="6"/>
        <v>Normal</v>
      </c>
      <c r="L106">
        <f t="shared" si="7"/>
        <v>1</v>
      </c>
      <c r="M106">
        <f t="shared" si="8"/>
        <v>1</v>
      </c>
      <c r="N106" s="6">
        <f t="shared" si="9"/>
        <v>45695</v>
      </c>
    </row>
    <row r="107" spans="1:14" x14ac:dyDescent="0.3">
      <c r="A107">
        <v>906</v>
      </c>
      <c r="B107">
        <v>10015</v>
      </c>
      <c r="C107" t="s">
        <v>929</v>
      </c>
      <c r="D107" t="s">
        <v>29</v>
      </c>
      <c r="E107" t="s">
        <v>24</v>
      </c>
      <c r="F107" t="s">
        <v>17</v>
      </c>
      <c r="G107" t="s">
        <v>18</v>
      </c>
      <c r="H107">
        <v>67881.27</v>
      </c>
      <c r="I107">
        <v>0</v>
      </c>
      <c r="J107" t="str">
        <f t="shared" si="5"/>
        <v>High</v>
      </c>
      <c r="K107" t="str">
        <f t="shared" si="6"/>
        <v>Normal</v>
      </c>
      <c r="L107">
        <f t="shared" si="7"/>
        <v>1</v>
      </c>
      <c r="M107">
        <f t="shared" si="8"/>
        <v>1</v>
      </c>
      <c r="N107" s="6">
        <f t="shared" si="9"/>
        <v>45695</v>
      </c>
    </row>
    <row r="108" spans="1:14" x14ac:dyDescent="0.3">
      <c r="A108">
        <v>907</v>
      </c>
      <c r="B108">
        <v>10007</v>
      </c>
      <c r="C108" t="s">
        <v>930</v>
      </c>
      <c r="D108" t="s">
        <v>29</v>
      </c>
      <c r="E108" t="s">
        <v>11</v>
      </c>
      <c r="F108" t="s">
        <v>17</v>
      </c>
      <c r="G108" t="s">
        <v>18</v>
      </c>
      <c r="H108">
        <v>32377.66</v>
      </c>
      <c r="I108">
        <v>0</v>
      </c>
      <c r="J108" t="str">
        <f t="shared" si="5"/>
        <v>High</v>
      </c>
      <c r="K108" t="str">
        <f t="shared" si="6"/>
        <v>Normal</v>
      </c>
      <c r="L108">
        <f t="shared" si="7"/>
        <v>1</v>
      </c>
      <c r="M108">
        <f t="shared" si="8"/>
        <v>1</v>
      </c>
      <c r="N108" s="6">
        <f t="shared" si="9"/>
        <v>45695</v>
      </c>
    </row>
    <row r="109" spans="1:14" x14ac:dyDescent="0.3">
      <c r="A109">
        <v>908</v>
      </c>
      <c r="B109">
        <v>10003</v>
      </c>
      <c r="C109" t="s">
        <v>931</v>
      </c>
      <c r="D109" t="s">
        <v>15</v>
      </c>
      <c r="E109" t="s">
        <v>24</v>
      </c>
      <c r="F109" t="s">
        <v>17</v>
      </c>
      <c r="G109" t="s">
        <v>25</v>
      </c>
      <c r="H109">
        <v>98776.18</v>
      </c>
      <c r="I109">
        <v>0</v>
      </c>
      <c r="J109" t="str">
        <f t="shared" si="5"/>
        <v>High</v>
      </c>
      <c r="K109" t="str">
        <f t="shared" si="6"/>
        <v>Normal</v>
      </c>
      <c r="L109">
        <f t="shared" si="7"/>
        <v>1</v>
      </c>
      <c r="M109">
        <f t="shared" si="8"/>
        <v>1</v>
      </c>
      <c r="N109" s="6">
        <f t="shared" si="9"/>
        <v>45695</v>
      </c>
    </row>
    <row r="110" spans="1:14" x14ac:dyDescent="0.3">
      <c r="A110">
        <v>909</v>
      </c>
      <c r="B110">
        <v>10003</v>
      </c>
      <c r="C110" t="s">
        <v>932</v>
      </c>
      <c r="D110" t="s">
        <v>20</v>
      </c>
      <c r="E110" t="s">
        <v>24</v>
      </c>
      <c r="F110" t="s">
        <v>17</v>
      </c>
      <c r="G110" t="s">
        <v>31</v>
      </c>
      <c r="H110">
        <v>32635.91</v>
      </c>
      <c r="I110">
        <v>0</v>
      </c>
      <c r="J110" t="str">
        <f t="shared" si="5"/>
        <v>High</v>
      </c>
      <c r="K110" t="str">
        <f t="shared" si="6"/>
        <v>Normal</v>
      </c>
      <c r="L110">
        <f t="shared" si="7"/>
        <v>1</v>
      </c>
      <c r="M110">
        <f t="shared" si="8"/>
        <v>1</v>
      </c>
      <c r="N110" s="6">
        <f t="shared" si="9"/>
        <v>45695</v>
      </c>
    </row>
    <row r="111" spans="1:14" x14ac:dyDescent="0.3">
      <c r="A111">
        <v>910</v>
      </c>
      <c r="B111">
        <v>10055</v>
      </c>
      <c r="C111" t="s">
        <v>933</v>
      </c>
      <c r="D111" t="s">
        <v>29</v>
      </c>
      <c r="E111" t="s">
        <v>24</v>
      </c>
      <c r="F111" t="s">
        <v>12</v>
      </c>
      <c r="G111" t="s">
        <v>21</v>
      </c>
      <c r="H111">
        <v>39474.19</v>
      </c>
      <c r="I111">
        <v>0</v>
      </c>
      <c r="J111" t="str">
        <f t="shared" si="5"/>
        <v>High</v>
      </c>
      <c r="K111" t="str">
        <f t="shared" si="6"/>
        <v>Normal</v>
      </c>
      <c r="L111">
        <f t="shared" si="7"/>
        <v>1</v>
      </c>
      <c r="M111">
        <f t="shared" si="8"/>
        <v>1</v>
      </c>
      <c r="N111" s="6">
        <f t="shared" si="9"/>
        <v>45695</v>
      </c>
    </row>
    <row r="112" spans="1:14" x14ac:dyDescent="0.3">
      <c r="A112">
        <v>911</v>
      </c>
      <c r="B112">
        <v>10024</v>
      </c>
      <c r="C112" t="s">
        <v>934</v>
      </c>
      <c r="D112" t="s">
        <v>15</v>
      </c>
      <c r="E112" t="s">
        <v>16</v>
      </c>
      <c r="F112" t="s">
        <v>17</v>
      </c>
      <c r="G112" t="s">
        <v>13</v>
      </c>
      <c r="H112">
        <v>60373.09</v>
      </c>
      <c r="I112">
        <v>0</v>
      </c>
      <c r="J112" t="str">
        <f t="shared" si="5"/>
        <v>High</v>
      </c>
      <c r="K112" t="str">
        <f t="shared" si="6"/>
        <v>Normal</v>
      </c>
      <c r="L112">
        <f t="shared" si="7"/>
        <v>1</v>
      </c>
      <c r="M112">
        <f t="shared" si="8"/>
        <v>1</v>
      </c>
      <c r="N112" s="6">
        <f t="shared" si="9"/>
        <v>45695</v>
      </c>
    </row>
    <row r="113" spans="1:14" x14ac:dyDescent="0.3">
      <c r="A113">
        <v>912</v>
      </c>
      <c r="B113">
        <v>10066</v>
      </c>
      <c r="C113" t="s">
        <v>935</v>
      </c>
      <c r="D113" t="s">
        <v>20</v>
      </c>
      <c r="E113" t="s">
        <v>11</v>
      </c>
      <c r="F113" t="s">
        <v>17</v>
      </c>
      <c r="G113" t="s">
        <v>18</v>
      </c>
      <c r="H113">
        <v>80188.259999999995</v>
      </c>
      <c r="I113">
        <v>1</v>
      </c>
      <c r="J113" t="str">
        <f t="shared" si="5"/>
        <v>High</v>
      </c>
      <c r="K113" t="str">
        <f t="shared" si="6"/>
        <v>High Risk</v>
      </c>
      <c r="L113">
        <f t="shared" si="7"/>
        <v>1</v>
      </c>
      <c r="M113">
        <f t="shared" si="8"/>
        <v>1</v>
      </c>
      <c r="N113" s="6">
        <f t="shared" si="9"/>
        <v>45695</v>
      </c>
    </row>
    <row r="114" spans="1:14" x14ac:dyDescent="0.3">
      <c r="A114">
        <v>865</v>
      </c>
      <c r="B114">
        <v>10037</v>
      </c>
      <c r="C114" t="s">
        <v>888</v>
      </c>
      <c r="D114" t="s">
        <v>15</v>
      </c>
      <c r="E114" t="s">
        <v>24</v>
      </c>
      <c r="F114" t="s">
        <v>12</v>
      </c>
      <c r="G114" t="s">
        <v>21</v>
      </c>
      <c r="H114">
        <v>13622.01</v>
      </c>
      <c r="I114">
        <v>0</v>
      </c>
      <c r="J114" t="str">
        <f t="shared" si="5"/>
        <v>High</v>
      </c>
      <c r="K114" t="str">
        <f t="shared" si="6"/>
        <v>Normal</v>
      </c>
      <c r="L114">
        <f t="shared" si="7"/>
        <v>1</v>
      </c>
      <c r="M114">
        <f t="shared" si="8"/>
        <v>1</v>
      </c>
      <c r="N114" s="6">
        <f t="shared" si="9"/>
        <v>45694</v>
      </c>
    </row>
    <row r="115" spans="1:14" x14ac:dyDescent="0.3">
      <c r="A115">
        <v>866</v>
      </c>
      <c r="B115">
        <v>10049</v>
      </c>
      <c r="C115" t="s">
        <v>889</v>
      </c>
      <c r="D115" t="s">
        <v>29</v>
      </c>
      <c r="E115" t="s">
        <v>11</v>
      </c>
      <c r="F115" t="s">
        <v>12</v>
      </c>
      <c r="G115" t="s">
        <v>31</v>
      </c>
      <c r="H115">
        <v>19844.16</v>
      </c>
      <c r="I115">
        <v>0</v>
      </c>
      <c r="J115" t="str">
        <f t="shared" si="5"/>
        <v>High</v>
      </c>
      <c r="K115" t="str">
        <f t="shared" si="6"/>
        <v>Normal</v>
      </c>
      <c r="L115">
        <f t="shared" si="7"/>
        <v>1</v>
      </c>
      <c r="M115">
        <f t="shared" si="8"/>
        <v>1</v>
      </c>
      <c r="N115" s="6">
        <f t="shared" si="9"/>
        <v>45694</v>
      </c>
    </row>
    <row r="116" spans="1:14" x14ac:dyDescent="0.3">
      <c r="A116">
        <v>867</v>
      </c>
      <c r="B116">
        <v>10097</v>
      </c>
      <c r="C116" t="s">
        <v>890</v>
      </c>
      <c r="D116" t="s">
        <v>10</v>
      </c>
      <c r="E116" t="s">
        <v>11</v>
      </c>
      <c r="F116" t="s">
        <v>17</v>
      </c>
      <c r="G116" t="s">
        <v>31</v>
      </c>
      <c r="H116">
        <v>18133.77</v>
      </c>
      <c r="I116">
        <v>0</v>
      </c>
      <c r="J116" t="str">
        <f t="shared" si="5"/>
        <v>High</v>
      </c>
      <c r="K116" t="str">
        <f t="shared" si="6"/>
        <v>Normal</v>
      </c>
      <c r="L116">
        <f t="shared" si="7"/>
        <v>1</v>
      </c>
      <c r="M116">
        <f t="shared" si="8"/>
        <v>1</v>
      </c>
      <c r="N116" s="6">
        <f t="shared" si="9"/>
        <v>45694</v>
      </c>
    </row>
    <row r="117" spans="1:14" x14ac:dyDescent="0.3">
      <c r="A117">
        <v>868</v>
      </c>
      <c r="B117">
        <v>10081</v>
      </c>
      <c r="C117" t="s">
        <v>891</v>
      </c>
      <c r="D117" t="s">
        <v>29</v>
      </c>
      <c r="E117" t="s">
        <v>16</v>
      </c>
      <c r="F117" t="s">
        <v>17</v>
      </c>
      <c r="G117" t="s">
        <v>31</v>
      </c>
      <c r="H117">
        <v>26320.81</v>
      </c>
      <c r="I117">
        <v>0</v>
      </c>
      <c r="J117" t="str">
        <f t="shared" si="5"/>
        <v>High</v>
      </c>
      <c r="K117" t="str">
        <f t="shared" si="6"/>
        <v>Normal</v>
      </c>
      <c r="L117">
        <f t="shared" si="7"/>
        <v>1</v>
      </c>
      <c r="M117">
        <f t="shared" si="8"/>
        <v>1</v>
      </c>
      <c r="N117" s="6">
        <f t="shared" si="9"/>
        <v>45694</v>
      </c>
    </row>
    <row r="118" spans="1:14" x14ac:dyDescent="0.3">
      <c r="A118">
        <v>869</v>
      </c>
      <c r="B118">
        <v>10029</v>
      </c>
      <c r="C118" t="s">
        <v>892</v>
      </c>
      <c r="D118" t="s">
        <v>20</v>
      </c>
      <c r="E118" t="s">
        <v>16</v>
      </c>
      <c r="F118" t="s">
        <v>12</v>
      </c>
      <c r="G118" t="s">
        <v>21</v>
      </c>
      <c r="H118">
        <v>52573.32</v>
      </c>
      <c r="I118">
        <v>0</v>
      </c>
      <c r="J118" t="str">
        <f t="shared" si="5"/>
        <v>High</v>
      </c>
      <c r="K118" t="str">
        <f t="shared" si="6"/>
        <v>Normal</v>
      </c>
      <c r="L118">
        <f t="shared" si="7"/>
        <v>1</v>
      </c>
      <c r="M118">
        <f t="shared" si="8"/>
        <v>1</v>
      </c>
      <c r="N118" s="6">
        <f t="shared" si="9"/>
        <v>45694</v>
      </c>
    </row>
    <row r="119" spans="1:14" x14ac:dyDescent="0.3">
      <c r="A119">
        <v>870</v>
      </c>
      <c r="B119">
        <v>10078</v>
      </c>
      <c r="C119" t="s">
        <v>893</v>
      </c>
      <c r="D119" t="s">
        <v>29</v>
      </c>
      <c r="E119" t="s">
        <v>11</v>
      </c>
      <c r="F119" t="s">
        <v>12</v>
      </c>
      <c r="G119" t="s">
        <v>21</v>
      </c>
      <c r="H119">
        <v>11209.75</v>
      </c>
      <c r="I119">
        <v>0</v>
      </c>
      <c r="J119" t="str">
        <f t="shared" si="5"/>
        <v>High</v>
      </c>
      <c r="K119" t="str">
        <f t="shared" si="6"/>
        <v>Normal</v>
      </c>
      <c r="L119">
        <f t="shared" si="7"/>
        <v>1</v>
      </c>
      <c r="M119">
        <f t="shared" si="8"/>
        <v>1</v>
      </c>
      <c r="N119" s="6">
        <f t="shared" si="9"/>
        <v>45694</v>
      </c>
    </row>
    <row r="120" spans="1:14" x14ac:dyDescent="0.3">
      <c r="A120">
        <v>871</v>
      </c>
      <c r="B120">
        <v>10090</v>
      </c>
      <c r="C120" t="s">
        <v>894</v>
      </c>
      <c r="D120" t="s">
        <v>20</v>
      </c>
      <c r="E120" t="s">
        <v>11</v>
      </c>
      <c r="F120" t="s">
        <v>12</v>
      </c>
      <c r="G120" t="s">
        <v>18</v>
      </c>
      <c r="H120">
        <v>86830.11</v>
      </c>
      <c r="I120">
        <v>1</v>
      </c>
      <c r="J120" t="str">
        <f t="shared" si="5"/>
        <v>High</v>
      </c>
      <c r="K120" t="str">
        <f t="shared" si="6"/>
        <v>High Risk</v>
      </c>
      <c r="L120">
        <f t="shared" si="7"/>
        <v>1</v>
      </c>
      <c r="M120">
        <f t="shared" si="8"/>
        <v>1</v>
      </c>
      <c r="N120" s="6">
        <f t="shared" si="9"/>
        <v>45694</v>
      </c>
    </row>
    <row r="121" spans="1:14" x14ac:dyDescent="0.3">
      <c r="A121">
        <v>872</v>
      </c>
      <c r="B121">
        <v>10050</v>
      </c>
      <c r="C121" t="s">
        <v>895</v>
      </c>
      <c r="D121" t="s">
        <v>20</v>
      </c>
      <c r="E121" t="s">
        <v>11</v>
      </c>
      <c r="F121" t="s">
        <v>12</v>
      </c>
      <c r="G121" t="s">
        <v>25</v>
      </c>
      <c r="H121">
        <v>29806.42</v>
      </c>
      <c r="I121">
        <v>0</v>
      </c>
      <c r="J121" t="str">
        <f t="shared" si="5"/>
        <v>High</v>
      </c>
      <c r="K121" t="str">
        <f t="shared" si="6"/>
        <v>Normal</v>
      </c>
      <c r="L121">
        <f t="shared" si="7"/>
        <v>1</v>
      </c>
      <c r="M121">
        <f t="shared" si="8"/>
        <v>1</v>
      </c>
      <c r="N121" s="6">
        <f t="shared" si="9"/>
        <v>45694</v>
      </c>
    </row>
    <row r="122" spans="1:14" x14ac:dyDescent="0.3">
      <c r="A122">
        <v>873</v>
      </c>
      <c r="B122">
        <v>10062</v>
      </c>
      <c r="C122" t="s">
        <v>896</v>
      </c>
      <c r="D122" t="s">
        <v>20</v>
      </c>
      <c r="E122" t="s">
        <v>11</v>
      </c>
      <c r="F122" t="s">
        <v>12</v>
      </c>
      <c r="G122" t="s">
        <v>25</v>
      </c>
      <c r="H122">
        <v>16337.54</v>
      </c>
      <c r="I122">
        <v>0</v>
      </c>
      <c r="J122" t="str">
        <f t="shared" si="5"/>
        <v>High</v>
      </c>
      <c r="K122" t="str">
        <f t="shared" si="6"/>
        <v>Normal</v>
      </c>
      <c r="L122">
        <f t="shared" si="7"/>
        <v>1</v>
      </c>
      <c r="M122">
        <f t="shared" si="8"/>
        <v>1</v>
      </c>
      <c r="N122" s="6">
        <f t="shared" si="9"/>
        <v>45694</v>
      </c>
    </row>
    <row r="123" spans="1:14" x14ac:dyDescent="0.3">
      <c r="A123">
        <v>874</v>
      </c>
      <c r="B123">
        <v>10097</v>
      </c>
      <c r="C123" t="s">
        <v>897</v>
      </c>
      <c r="D123" t="s">
        <v>20</v>
      </c>
      <c r="E123" t="s">
        <v>11</v>
      </c>
      <c r="F123" t="s">
        <v>12</v>
      </c>
      <c r="G123" t="s">
        <v>18</v>
      </c>
      <c r="H123">
        <v>67594.570000000007</v>
      </c>
      <c r="I123">
        <v>1</v>
      </c>
      <c r="J123" t="str">
        <f t="shared" si="5"/>
        <v>High</v>
      </c>
      <c r="K123" t="str">
        <f t="shared" si="6"/>
        <v>High Risk</v>
      </c>
      <c r="L123">
        <f t="shared" si="7"/>
        <v>1</v>
      </c>
      <c r="M123">
        <f t="shared" si="8"/>
        <v>1</v>
      </c>
      <c r="N123" s="6">
        <f t="shared" si="9"/>
        <v>45694</v>
      </c>
    </row>
    <row r="124" spans="1:14" x14ac:dyDescent="0.3">
      <c r="A124">
        <v>875</v>
      </c>
      <c r="B124">
        <v>10051</v>
      </c>
      <c r="C124" t="s">
        <v>898</v>
      </c>
      <c r="D124" t="s">
        <v>20</v>
      </c>
      <c r="E124" t="s">
        <v>11</v>
      </c>
      <c r="F124" t="s">
        <v>12</v>
      </c>
      <c r="G124" t="s">
        <v>18</v>
      </c>
      <c r="H124">
        <v>3904.82</v>
      </c>
      <c r="I124">
        <v>0</v>
      </c>
      <c r="J124" t="str">
        <f t="shared" si="5"/>
        <v>High</v>
      </c>
      <c r="K124" t="str">
        <f t="shared" si="6"/>
        <v>Normal</v>
      </c>
      <c r="L124">
        <f t="shared" si="7"/>
        <v>1</v>
      </c>
      <c r="M124">
        <f t="shared" si="8"/>
        <v>1</v>
      </c>
      <c r="N124" s="6">
        <f t="shared" si="9"/>
        <v>45694</v>
      </c>
    </row>
    <row r="125" spans="1:14" x14ac:dyDescent="0.3">
      <c r="A125">
        <v>876</v>
      </c>
      <c r="B125">
        <v>10037</v>
      </c>
      <c r="C125" t="s">
        <v>899</v>
      </c>
      <c r="D125" t="s">
        <v>10</v>
      </c>
      <c r="E125" t="s">
        <v>24</v>
      </c>
      <c r="F125" t="s">
        <v>12</v>
      </c>
      <c r="G125" t="s">
        <v>31</v>
      </c>
      <c r="H125">
        <v>62034.86</v>
      </c>
      <c r="I125">
        <v>0</v>
      </c>
      <c r="J125" t="str">
        <f t="shared" si="5"/>
        <v>High</v>
      </c>
      <c r="K125" t="str">
        <f t="shared" si="6"/>
        <v>Normal</v>
      </c>
      <c r="L125">
        <f t="shared" si="7"/>
        <v>1</v>
      </c>
      <c r="M125">
        <f t="shared" si="8"/>
        <v>1</v>
      </c>
      <c r="N125" s="6">
        <f t="shared" si="9"/>
        <v>45694</v>
      </c>
    </row>
    <row r="126" spans="1:14" x14ac:dyDescent="0.3">
      <c r="A126">
        <v>877</v>
      </c>
      <c r="B126">
        <v>10096</v>
      </c>
      <c r="C126" t="s">
        <v>900</v>
      </c>
      <c r="D126" t="s">
        <v>15</v>
      </c>
      <c r="E126" t="s">
        <v>11</v>
      </c>
      <c r="F126" t="s">
        <v>12</v>
      </c>
      <c r="G126" t="s">
        <v>18</v>
      </c>
      <c r="H126">
        <v>69850.02</v>
      </c>
      <c r="I126">
        <v>1</v>
      </c>
      <c r="J126" t="str">
        <f t="shared" si="5"/>
        <v>High</v>
      </c>
      <c r="K126" t="str">
        <f t="shared" si="6"/>
        <v>High Risk</v>
      </c>
      <c r="L126">
        <f t="shared" si="7"/>
        <v>1</v>
      </c>
      <c r="M126">
        <f t="shared" si="8"/>
        <v>1</v>
      </c>
      <c r="N126" s="6">
        <f t="shared" si="9"/>
        <v>45694</v>
      </c>
    </row>
    <row r="127" spans="1:14" x14ac:dyDescent="0.3">
      <c r="A127">
        <v>878</v>
      </c>
      <c r="B127">
        <v>10087</v>
      </c>
      <c r="C127" t="s">
        <v>901</v>
      </c>
      <c r="D127" t="s">
        <v>23</v>
      </c>
      <c r="E127" t="s">
        <v>16</v>
      </c>
      <c r="F127" t="s">
        <v>17</v>
      </c>
      <c r="G127" t="s">
        <v>13</v>
      </c>
      <c r="H127">
        <v>21570.16</v>
      </c>
      <c r="I127">
        <v>0</v>
      </c>
      <c r="J127" t="str">
        <f t="shared" si="5"/>
        <v>High</v>
      </c>
      <c r="K127" t="str">
        <f t="shared" si="6"/>
        <v>Normal</v>
      </c>
      <c r="L127">
        <f t="shared" si="7"/>
        <v>1</v>
      </c>
      <c r="M127">
        <f t="shared" si="8"/>
        <v>1</v>
      </c>
      <c r="N127" s="6">
        <f t="shared" si="9"/>
        <v>45694</v>
      </c>
    </row>
    <row r="128" spans="1:14" x14ac:dyDescent="0.3">
      <c r="A128">
        <v>879</v>
      </c>
      <c r="B128">
        <v>10078</v>
      </c>
      <c r="C128" t="s">
        <v>902</v>
      </c>
      <c r="D128" t="s">
        <v>15</v>
      </c>
      <c r="E128" t="s">
        <v>24</v>
      </c>
      <c r="F128" t="s">
        <v>12</v>
      </c>
      <c r="G128" t="s">
        <v>25</v>
      </c>
      <c r="H128">
        <v>4292.21</v>
      </c>
      <c r="I128">
        <v>0</v>
      </c>
      <c r="J128" t="str">
        <f t="shared" si="5"/>
        <v>High</v>
      </c>
      <c r="K128" t="str">
        <f t="shared" si="6"/>
        <v>Normal</v>
      </c>
      <c r="L128">
        <f t="shared" si="7"/>
        <v>1</v>
      </c>
      <c r="M128">
        <f t="shared" si="8"/>
        <v>1</v>
      </c>
      <c r="N128" s="6">
        <f t="shared" si="9"/>
        <v>45694</v>
      </c>
    </row>
    <row r="129" spans="1:14" x14ac:dyDescent="0.3">
      <c r="A129">
        <v>880</v>
      </c>
      <c r="B129">
        <v>10029</v>
      </c>
      <c r="C129" t="s">
        <v>903</v>
      </c>
      <c r="D129" t="s">
        <v>20</v>
      </c>
      <c r="E129" t="s">
        <v>11</v>
      </c>
      <c r="F129" t="s">
        <v>17</v>
      </c>
      <c r="G129" t="s">
        <v>18</v>
      </c>
      <c r="H129">
        <v>36428.17</v>
      </c>
      <c r="I129">
        <v>0</v>
      </c>
      <c r="J129" t="str">
        <f t="shared" si="5"/>
        <v>High</v>
      </c>
      <c r="K129" t="str">
        <f t="shared" si="6"/>
        <v>Normal</v>
      </c>
      <c r="L129">
        <f t="shared" si="7"/>
        <v>1</v>
      </c>
      <c r="M129">
        <f t="shared" si="8"/>
        <v>1</v>
      </c>
      <c r="N129" s="6">
        <f t="shared" si="9"/>
        <v>45694</v>
      </c>
    </row>
    <row r="130" spans="1:14" x14ac:dyDescent="0.3">
      <c r="A130">
        <v>881</v>
      </c>
      <c r="B130">
        <v>10050</v>
      </c>
      <c r="C130" t="s">
        <v>904</v>
      </c>
      <c r="D130" t="s">
        <v>10</v>
      </c>
      <c r="E130" t="s">
        <v>16</v>
      </c>
      <c r="F130" t="s">
        <v>17</v>
      </c>
      <c r="G130" t="s">
        <v>13</v>
      </c>
      <c r="H130">
        <v>9949.56</v>
      </c>
      <c r="I130">
        <v>0</v>
      </c>
      <c r="J130" t="str">
        <f t="shared" ref="J130:J193" si="10">IF(E130&gt;50000,"High","Normal")</f>
        <v>High</v>
      </c>
      <c r="K130" t="str">
        <f t="shared" ref="K130:K193" si="11">IF(AND(H130&gt;50000,E130="Online"),"High Risk","Normal")</f>
        <v>Normal</v>
      </c>
      <c r="L130">
        <f t="shared" ref="L130:L193" si="12">COUNTIFS(C:C,C130,B:B,B130)</f>
        <v>1</v>
      </c>
      <c r="M130">
        <f t="shared" ref="M130:M193" si="13">IF(E130&gt;50000,1,0) + IF(H130="Unusual",1,0) + IF(I130&gt;3,1,0)</f>
        <v>1</v>
      </c>
      <c r="N130" s="6">
        <f t="shared" ref="N130:N193" si="14">INT(C130)</f>
        <v>45694</v>
      </c>
    </row>
    <row r="131" spans="1:14" x14ac:dyDescent="0.3">
      <c r="A131">
        <v>882</v>
      </c>
      <c r="B131">
        <v>10080</v>
      </c>
      <c r="C131" t="s">
        <v>905</v>
      </c>
      <c r="D131" t="s">
        <v>29</v>
      </c>
      <c r="E131" t="s">
        <v>24</v>
      </c>
      <c r="F131" t="s">
        <v>12</v>
      </c>
      <c r="G131" t="s">
        <v>13</v>
      </c>
      <c r="H131">
        <v>11736.14</v>
      </c>
      <c r="I131">
        <v>0</v>
      </c>
      <c r="J131" t="str">
        <f t="shared" si="10"/>
        <v>High</v>
      </c>
      <c r="K131" t="str">
        <f t="shared" si="11"/>
        <v>Normal</v>
      </c>
      <c r="L131">
        <f t="shared" si="12"/>
        <v>1</v>
      </c>
      <c r="M131">
        <f t="shared" si="13"/>
        <v>1</v>
      </c>
      <c r="N131" s="6">
        <f t="shared" si="14"/>
        <v>45694</v>
      </c>
    </row>
    <row r="132" spans="1:14" x14ac:dyDescent="0.3">
      <c r="A132">
        <v>883</v>
      </c>
      <c r="B132">
        <v>10004</v>
      </c>
      <c r="C132" t="s">
        <v>906</v>
      </c>
      <c r="D132" t="s">
        <v>10</v>
      </c>
      <c r="E132" t="s">
        <v>16</v>
      </c>
      <c r="F132" t="s">
        <v>12</v>
      </c>
      <c r="G132" t="s">
        <v>13</v>
      </c>
      <c r="H132">
        <v>25500.7</v>
      </c>
      <c r="I132">
        <v>0</v>
      </c>
      <c r="J132" t="str">
        <f t="shared" si="10"/>
        <v>High</v>
      </c>
      <c r="K132" t="str">
        <f t="shared" si="11"/>
        <v>Normal</v>
      </c>
      <c r="L132">
        <f t="shared" si="12"/>
        <v>1</v>
      </c>
      <c r="M132">
        <f t="shared" si="13"/>
        <v>1</v>
      </c>
      <c r="N132" s="6">
        <f t="shared" si="14"/>
        <v>45694</v>
      </c>
    </row>
    <row r="133" spans="1:14" x14ac:dyDescent="0.3">
      <c r="A133">
        <v>884</v>
      </c>
      <c r="B133">
        <v>10028</v>
      </c>
      <c r="C133" t="s">
        <v>907</v>
      </c>
      <c r="D133" t="s">
        <v>20</v>
      </c>
      <c r="E133" t="s">
        <v>11</v>
      </c>
      <c r="F133" t="s">
        <v>17</v>
      </c>
      <c r="G133" t="s">
        <v>13</v>
      </c>
      <c r="H133">
        <v>29617.25</v>
      </c>
      <c r="I133">
        <v>0</v>
      </c>
      <c r="J133" t="str">
        <f t="shared" si="10"/>
        <v>High</v>
      </c>
      <c r="K133" t="str">
        <f t="shared" si="11"/>
        <v>Normal</v>
      </c>
      <c r="L133">
        <f t="shared" si="12"/>
        <v>1</v>
      </c>
      <c r="M133">
        <f t="shared" si="13"/>
        <v>1</v>
      </c>
      <c r="N133" s="6">
        <f t="shared" si="14"/>
        <v>45694</v>
      </c>
    </row>
    <row r="134" spans="1:14" x14ac:dyDescent="0.3">
      <c r="A134">
        <v>885</v>
      </c>
      <c r="B134">
        <v>10003</v>
      </c>
      <c r="C134" t="s">
        <v>908</v>
      </c>
      <c r="D134" t="s">
        <v>10</v>
      </c>
      <c r="E134" t="s">
        <v>11</v>
      </c>
      <c r="F134" t="s">
        <v>17</v>
      </c>
      <c r="G134" t="s">
        <v>31</v>
      </c>
      <c r="H134">
        <v>53044.04</v>
      </c>
      <c r="I134">
        <v>1</v>
      </c>
      <c r="J134" t="str">
        <f t="shared" si="10"/>
        <v>High</v>
      </c>
      <c r="K134" t="str">
        <f t="shared" si="11"/>
        <v>High Risk</v>
      </c>
      <c r="L134">
        <f t="shared" si="12"/>
        <v>1</v>
      </c>
      <c r="M134">
        <f t="shared" si="13"/>
        <v>1</v>
      </c>
      <c r="N134" s="6">
        <f t="shared" si="14"/>
        <v>45694</v>
      </c>
    </row>
    <row r="135" spans="1:14" x14ac:dyDescent="0.3">
      <c r="A135">
        <v>886</v>
      </c>
      <c r="B135">
        <v>10009</v>
      </c>
      <c r="C135" t="s">
        <v>909</v>
      </c>
      <c r="D135" t="s">
        <v>10</v>
      </c>
      <c r="E135" t="s">
        <v>11</v>
      </c>
      <c r="F135" t="s">
        <v>12</v>
      </c>
      <c r="G135" t="s">
        <v>13</v>
      </c>
      <c r="H135">
        <v>67871.350000000006</v>
      </c>
      <c r="I135">
        <v>1</v>
      </c>
      <c r="J135" t="str">
        <f t="shared" si="10"/>
        <v>High</v>
      </c>
      <c r="K135" t="str">
        <f t="shared" si="11"/>
        <v>High Risk</v>
      </c>
      <c r="L135">
        <f t="shared" si="12"/>
        <v>1</v>
      </c>
      <c r="M135">
        <f t="shared" si="13"/>
        <v>1</v>
      </c>
      <c r="N135" s="6">
        <f t="shared" si="14"/>
        <v>45694</v>
      </c>
    </row>
    <row r="136" spans="1:14" x14ac:dyDescent="0.3">
      <c r="A136">
        <v>887</v>
      </c>
      <c r="B136">
        <v>10055</v>
      </c>
      <c r="C136" t="s">
        <v>910</v>
      </c>
      <c r="D136" t="s">
        <v>20</v>
      </c>
      <c r="E136" t="s">
        <v>11</v>
      </c>
      <c r="F136" t="s">
        <v>17</v>
      </c>
      <c r="G136" t="s">
        <v>31</v>
      </c>
      <c r="H136">
        <v>59317.82</v>
      </c>
      <c r="I136">
        <v>1</v>
      </c>
      <c r="J136" t="str">
        <f t="shared" si="10"/>
        <v>High</v>
      </c>
      <c r="K136" t="str">
        <f t="shared" si="11"/>
        <v>High Risk</v>
      </c>
      <c r="L136">
        <f t="shared" si="12"/>
        <v>1</v>
      </c>
      <c r="M136">
        <f t="shared" si="13"/>
        <v>1</v>
      </c>
      <c r="N136" s="6">
        <f t="shared" si="14"/>
        <v>45694</v>
      </c>
    </row>
    <row r="137" spans="1:14" x14ac:dyDescent="0.3">
      <c r="A137">
        <v>888</v>
      </c>
      <c r="B137">
        <v>10016</v>
      </c>
      <c r="C137" t="s">
        <v>911</v>
      </c>
      <c r="D137" t="s">
        <v>10</v>
      </c>
      <c r="E137" t="s">
        <v>24</v>
      </c>
      <c r="F137" t="s">
        <v>12</v>
      </c>
      <c r="G137" t="s">
        <v>31</v>
      </c>
      <c r="H137">
        <v>14921.2</v>
      </c>
      <c r="I137">
        <v>0</v>
      </c>
      <c r="J137" t="str">
        <f t="shared" si="10"/>
        <v>High</v>
      </c>
      <c r="K137" t="str">
        <f t="shared" si="11"/>
        <v>Normal</v>
      </c>
      <c r="L137">
        <f t="shared" si="12"/>
        <v>1</v>
      </c>
      <c r="M137">
        <f t="shared" si="13"/>
        <v>1</v>
      </c>
      <c r="N137" s="6">
        <f t="shared" si="14"/>
        <v>45694</v>
      </c>
    </row>
    <row r="138" spans="1:14" x14ac:dyDescent="0.3">
      <c r="A138">
        <v>841</v>
      </c>
      <c r="B138">
        <v>10025</v>
      </c>
      <c r="C138" t="s">
        <v>864</v>
      </c>
      <c r="D138" t="s">
        <v>23</v>
      </c>
      <c r="E138" t="s">
        <v>11</v>
      </c>
      <c r="F138" t="s">
        <v>12</v>
      </c>
      <c r="G138" t="s">
        <v>31</v>
      </c>
      <c r="H138">
        <v>79022.48</v>
      </c>
      <c r="I138">
        <v>1</v>
      </c>
      <c r="J138" t="str">
        <f t="shared" si="10"/>
        <v>High</v>
      </c>
      <c r="K138" t="str">
        <f t="shared" si="11"/>
        <v>High Risk</v>
      </c>
      <c r="L138">
        <f t="shared" si="12"/>
        <v>1</v>
      </c>
      <c r="M138">
        <f t="shared" si="13"/>
        <v>1</v>
      </c>
      <c r="N138" s="6">
        <f t="shared" si="14"/>
        <v>45693</v>
      </c>
    </row>
    <row r="139" spans="1:14" x14ac:dyDescent="0.3">
      <c r="A139">
        <v>842</v>
      </c>
      <c r="B139">
        <v>10033</v>
      </c>
      <c r="C139" t="s">
        <v>865</v>
      </c>
      <c r="D139" t="s">
        <v>10</v>
      </c>
      <c r="E139" t="s">
        <v>24</v>
      </c>
      <c r="F139" t="s">
        <v>12</v>
      </c>
      <c r="G139" t="s">
        <v>21</v>
      </c>
      <c r="H139">
        <v>31866.46</v>
      </c>
      <c r="I139">
        <v>0</v>
      </c>
      <c r="J139" t="str">
        <f t="shared" si="10"/>
        <v>High</v>
      </c>
      <c r="K139" t="str">
        <f t="shared" si="11"/>
        <v>Normal</v>
      </c>
      <c r="L139">
        <f t="shared" si="12"/>
        <v>1</v>
      </c>
      <c r="M139">
        <f t="shared" si="13"/>
        <v>1</v>
      </c>
      <c r="N139" s="6">
        <f t="shared" si="14"/>
        <v>45693</v>
      </c>
    </row>
    <row r="140" spans="1:14" x14ac:dyDescent="0.3">
      <c r="A140">
        <v>843</v>
      </c>
      <c r="B140">
        <v>10053</v>
      </c>
      <c r="C140" t="s">
        <v>866</v>
      </c>
      <c r="D140" t="s">
        <v>23</v>
      </c>
      <c r="E140" t="s">
        <v>11</v>
      </c>
      <c r="F140" t="s">
        <v>12</v>
      </c>
      <c r="G140" t="s">
        <v>21</v>
      </c>
      <c r="H140">
        <v>58015.14</v>
      </c>
      <c r="I140">
        <v>1</v>
      </c>
      <c r="J140" t="str">
        <f t="shared" si="10"/>
        <v>High</v>
      </c>
      <c r="K140" t="str">
        <f t="shared" si="11"/>
        <v>High Risk</v>
      </c>
      <c r="L140">
        <f t="shared" si="12"/>
        <v>1</v>
      </c>
      <c r="M140">
        <f t="shared" si="13"/>
        <v>1</v>
      </c>
      <c r="N140" s="6">
        <f t="shared" si="14"/>
        <v>45693</v>
      </c>
    </row>
    <row r="141" spans="1:14" x14ac:dyDescent="0.3">
      <c r="A141">
        <v>844</v>
      </c>
      <c r="B141">
        <v>10002</v>
      </c>
      <c r="C141" t="s">
        <v>867</v>
      </c>
      <c r="D141" t="s">
        <v>20</v>
      </c>
      <c r="E141" t="s">
        <v>16</v>
      </c>
      <c r="F141" t="s">
        <v>12</v>
      </c>
      <c r="G141" t="s">
        <v>18</v>
      </c>
      <c r="H141">
        <v>34627.94</v>
      </c>
      <c r="I141">
        <v>0</v>
      </c>
      <c r="J141" t="str">
        <f t="shared" si="10"/>
        <v>High</v>
      </c>
      <c r="K141" t="str">
        <f t="shared" si="11"/>
        <v>Normal</v>
      </c>
      <c r="L141">
        <f t="shared" si="12"/>
        <v>1</v>
      </c>
      <c r="M141">
        <f t="shared" si="13"/>
        <v>1</v>
      </c>
      <c r="N141" s="6">
        <f t="shared" si="14"/>
        <v>45693</v>
      </c>
    </row>
    <row r="142" spans="1:14" x14ac:dyDescent="0.3">
      <c r="A142">
        <v>845</v>
      </c>
      <c r="B142">
        <v>10049</v>
      </c>
      <c r="C142" t="s">
        <v>868</v>
      </c>
      <c r="D142" t="s">
        <v>29</v>
      </c>
      <c r="E142" t="s">
        <v>16</v>
      </c>
      <c r="F142" t="s">
        <v>12</v>
      </c>
      <c r="G142" t="s">
        <v>21</v>
      </c>
      <c r="H142">
        <v>81595.360000000001</v>
      </c>
      <c r="I142">
        <v>0</v>
      </c>
      <c r="J142" t="str">
        <f t="shared" si="10"/>
        <v>High</v>
      </c>
      <c r="K142" t="str">
        <f t="shared" si="11"/>
        <v>Normal</v>
      </c>
      <c r="L142">
        <f t="shared" si="12"/>
        <v>1</v>
      </c>
      <c r="M142">
        <f t="shared" si="13"/>
        <v>1</v>
      </c>
      <c r="N142" s="6">
        <f t="shared" si="14"/>
        <v>45693</v>
      </c>
    </row>
    <row r="143" spans="1:14" x14ac:dyDescent="0.3">
      <c r="A143">
        <v>846</v>
      </c>
      <c r="B143">
        <v>10011</v>
      </c>
      <c r="C143" t="s">
        <v>869</v>
      </c>
      <c r="D143" t="s">
        <v>29</v>
      </c>
      <c r="E143" t="s">
        <v>24</v>
      </c>
      <c r="F143" t="s">
        <v>12</v>
      </c>
      <c r="G143" t="s">
        <v>21</v>
      </c>
      <c r="H143">
        <v>46726.14</v>
      </c>
      <c r="I143">
        <v>0</v>
      </c>
      <c r="J143" t="str">
        <f t="shared" si="10"/>
        <v>High</v>
      </c>
      <c r="K143" t="str">
        <f t="shared" si="11"/>
        <v>Normal</v>
      </c>
      <c r="L143">
        <f t="shared" si="12"/>
        <v>1</v>
      </c>
      <c r="M143">
        <f t="shared" si="13"/>
        <v>1</v>
      </c>
      <c r="N143" s="6">
        <f t="shared" si="14"/>
        <v>45693</v>
      </c>
    </row>
    <row r="144" spans="1:14" x14ac:dyDescent="0.3">
      <c r="A144">
        <v>847</v>
      </c>
      <c r="B144">
        <v>10064</v>
      </c>
      <c r="C144" t="s">
        <v>870</v>
      </c>
      <c r="D144" t="s">
        <v>29</v>
      </c>
      <c r="E144" t="s">
        <v>16</v>
      </c>
      <c r="F144" t="s">
        <v>17</v>
      </c>
      <c r="G144" t="s">
        <v>13</v>
      </c>
      <c r="H144">
        <v>7764.61</v>
      </c>
      <c r="I144">
        <v>0</v>
      </c>
      <c r="J144" t="str">
        <f t="shared" si="10"/>
        <v>High</v>
      </c>
      <c r="K144" t="str">
        <f t="shared" si="11"/>
        <v>Normal</v>
      </c>
      <c r="L144">
        <f t="shared" si="12"/>
        <v>1</v>
      </c>
      <c r="M144">
        <f t="shared" si="13"/>
        <v>1</v>
      </c>
      <c r="N144" s="6">
        <f t="shared" si="14"/>
        <v>45693</v>
      </c>
    </row>
    <row r="145" spans="1:14" x14ac:dyDescent="0.3">
      <c r="A145">
        <v>848</v>
      </c>
      <c r="B145">
        <v>10053</v>
      </c>
      <c r="C145" t="s">
        <v>871</v>
      </c>
      <c r="D145" t="s">
        <v>23</v>
      </c>
      <c r="E145" t="s">
        <v>16</v>
      </c>
      <c r="F145" t="s">
        <v>12</v>
      </c>
      <c r="G145" t="s">
        <v>31</v>
      </c>
      <c r="H145">
        <v>16688.650000000001</v>
      </c>
      <c r="I145">
        <v>0</v>
      </c>
      <c r="J145" t="str">
        <f t="shared" si="10"/>
        <v>High</v>
      </c>
      <c r="K145" t="str">
        <f t="shared" si="11"/>
        <v>Normal</v>
      </c>
      <c r="L145">
        <f t="shared" si="12"/>
        <v>1</v>
      </c>
      <c r="M145">
        <f t="shared" si="13"/>
        <v>1</v>
      </c>
      <c r="N145" s="6">
        <f t="shared" si="14"/>
        <v>45693</v>
      </c>
    </row>
    <row r="146" spans="1:14" x14ac:dyDescent="0.3">
      <c r="A146">
        <v>849</v>
      </c>
      <c r="B146">
        <v>10004</v>
      </c>
      <c r="C146" t="s">
        <v>872</v>
      </c>
      <c r="D146" t="s">
        <v>20</v>
      </c>
      <c r="E146" t="s">
        <v>24</v>
      </c>
      <c r="F146" t="s">
        <v>17</v>
      </c>
      <c r="G146" t="s">
        <v>13</v>
      </c>
      <c r="H146">
        <v>6204.36</v>
      </c>
      <c r="I146">
        <v>0</v>
      </c>
      <c r="J146" t="str">
        <f t="shared" si="10"/>
        <v>High</v>
      </c>
      <c r="K146" t="str">
        <f t="shared" si="11"/>
        <v>Normal</v>
      </c>
      <c r="L146">
        <f t="shared" si="12"/>
        <v>1</v>
      </c>
      <c r="M146">
        <f t="shared" si="13"/>
        <v>1</v>
      </c>
      <c r="N146" s="6">
        <f t="shared" si="14"/>
        <v>45693</v>
      </c>
    </row>
    <row r="147" spans="1:14" x14ac:dyDescent="0.3">
      <c r="A147">
        <v>850</v>
      </c>
      <c r="B147">
        <v>10093</v>
      </c>
      <c r="C147" t="s">
        <v>873</v>
      </c>
      <c r="D147" t="s">
        <v>10</v>
      </c>
      <c r="E147" t="s">
        <v>16</v>
      </c>
      <c r="F147" t="s">
        <v>17</v>
      </c>
      <c r="G147" t="s">
        <v>21</v>
      </c>
      <c r="H147">
        <v>49980.36</v>
      </c>
      <c r="I147">
        <v>0</v>
      </c>
      <c r="J147" t="str">
        <f t="shared" si="10"/>
        <v>High</v>
      </c>
      <c r="K147" t="str">
        <f t="shared" si="11"/>
        <v>Normal</v>
      </c>
      <c r="L147">
        <f t="shared" si="12"/>
        <v>1</v>
      </c>
      <c r="M147">
        <f t="shared" si="13"/>
        <v>1</v>
      </c>
      <c r="N147" s="6">
        <f t="shared" si="14"/>
        <v>45693</v>
      </c>
    </row>
    <row r="148" spans="1:14" x14ac:dyDescent="0.3">
      <c r="A148">
        <v>851</v>
      </c>
      <c r="B148">
        <v>10093</v>
      </c>
      <c r="C148" t="s">
        <v>874</v>
      </c>
      <c r="D148" t="s">
        <v>10</v>
      </c>
      <c r="E148" t="s">
        <v>16</v>
      </c>
      <c r="F148" t="s">
        <v>12</v>
      </c>
      <c r="G148" t="s">
        <v>18</v>
      </c>
      <c r="H148">
        <v>10723.1</v>
      </c>
      <c r="I148">
        <v>0</v>
      </c>
      <c r="J148" t="str">
        <f t="shared" si="10"/>
        <v>High</v>
      </c>
      <c r="K148" t="str">
        <f t="shared" si="11"/>
        <v>Normal</v>
      </c>
      <c r="L148">
        <f t="shared" si="12"/>
        <v>1</v>
      </c>
      <c r="M148">
        <f t="shared" si="13"/>
        <v>1</v>
      </c>
      <c r="N148" s="6">
        <f t="shared" si="14"/>
        <v>45693</v>
      </c>
    </row>
    <row r="149" spans="1:14" x14ac:dyDescent="0.3">
      <c r="A149">
        <v>852</v>
      </c>
      <c r="B149">
        <v>10056</v>
      </c>
      <c r="C149" t="s">
        <v>875</v>
      </c>
      <c r="D149" t="s">
        <v>23</v>
      </c>
      <c r="E149" t="s">
        <v>16</v>
      </c>
      <c r="F149" t="s">
        <v>17</v>
      </c>
      <c r="G149" t="s">
        <v>13</v>
      </c>
      <c r="H149">
        <v>11502.58</v>
      </c>
      <c r="I149">
        <v>0</v>
      </c>
      <c r="J149" t="str">
        <f t="shared" si="10"/>
        <v>High</v>
      </c>
      <c r="K149" t="str">
        <f t="shared" si="11"/>
        <v>Normal</v>
      </c>
      <c r="L149">
        <f t="shared" si="12"/>
        <v>1</v>
      </c>
      <c r="M149">
        <f t="shared" si="13"/>
        <v>1</v>
      </c>
      <c r="N149" s="6">
        <f t="shared" si="14"/>
        <v>45693</v>
      </c>
    </row>
    <row r="150" spans="1:14" x14ac:dyDescent="0.3">
      <c r="A150">
        <v>853</v>
      </c>
      <c r="B150">
        <v>10016</v>
      </c>
      <c r="C150" t="s">
        <v>876</v>
      </c>
      <c r="D150" t="s">
        <v>29</v>
      </c>
      <c r="E150" t="s">
        <v>11</v>
      </c>
      <c r="F150" t="s">
        <v>12</v>
      </c>
      <c r="G150" t="s">
        <v>13</v>
      </c>
      <c r="H150">
        <v>94110.720000000001</v>
      </c>
      <c r="I150">
        <v>1</v>
      </c>
      <c r="J150" t="str">
        <f t="shared" si="10"/>
        <v>High</v>
      </c>
      <c r="K150" t="str">
        <f t="shared" si="11"/>
        <v>High Risk</v>
      </c>
      <c r="L150">
        <f t="shared" si="12"/>
        <v>1</v>
      </c>
      <c r="M150">
        <f t="shared" si="13"/>
        <v>1</v>
      </c>
      <c r="N150" s="6">
        <f t="shared" si="14"/>
        <v>45693</v>
      </c>
    </row>
    <row r="151" spans="1:14" x14ac:dyDescent="0.3">
      <c r="A151">
        <v>854</v>
      </c>
      <c r="B151">
        <v>10046</v>
      </c>
      <c r="C151" t="s">
        <v>877</v>
      </c>
      <c r="D151" t="s">
        <v>15</v>
      </c>
      <c r="E151" t="s">
        <v>24</v>
      </c>
      <c r="F151" t="s">
        <v>12</v>
      </c>
      <c r="G151" t="s">
        <v>25</v>
      </c>
      <c r="H151">
        <v>87278.24</v>
      </c>
      <c r="I151">
        <v>0</v>
      </c>
      <c r="J151" t="str">
        <f t="shared" si="10"/>
        <v>High</v>
      </c>
      <c r="K151" t="str">
        <f t="shared" si="11"/>
        <v>Normal</v>
      </c>
      <c r="L151">
        <f t="shared" si="12"/>
        <v>1</v>
      </c>
      <c r="M151">
        <f t="shared" si="13"/>
        <v>1</v>
      </c>
      <c r="N151" s="6">
        <f t="shared" si="14"/>
        <v>45693</v>
      </c>
    </row>
    <row r="152" spans="1:14" x14ac:dyDescent="0.3">
      <c r="A152">
        <v>855</v>
      </c>
      <c r="B152">
        <v>10022</v>
      </c>
      <c r="C152" t="s">
        <v>878</v>
      </c>
      <c r="D152" t="s">
        <v>23</v>
      </c>
      <c r="E152" t="s">
        <v>24</v>
      </c>
      <c r="F152" t="s">
        <v>17</v>
      </c>
      <c r="G152" t="s">
        <v>21</v>
      </c>
      <c r="H152">
        <v>45263.45</v>
      </c>
      <c r="I152">
        <v>0</v>
      </c>
      <c r="J152" t="str">
        <f t="shared" si="10"/>
        <v>High</v>
      </c>
      <c r="K152" t="str">
        <f t="shared" si="11"/>
        <v>Normal</v>
      </c>
      <c r="L152">
        <f t="shared" si="12"/>
        <v>1</v>
      </c>
      <c r="M152">
        <f t="shared" si="13"/>
        <v>1</v>
      </c>
      <c r="N152" s="6">
        <f t="shared" si="14"/>
        <v>45693</v>
      </c>
    </row>
    <row r="153" spans="1:14" x14ac:dyDescent="0.3">
      <c r="A153">
        <v>856</v>
      </c>
      <c r="B153">
        <v>10078</v>
      </c>
      <c r="C153" t="s">
        <v>879</v>
      </c>
      <c r="D153" t="s">
        <v>23</v>
      </c>
      <c r="E153" t="s">
        <v>24</v>
      </c>
      <c r="F153" t="s">
        <v>17</v>
      </c>
      <c r="G153" t="s">
        <v>18</v>
      </c>
      <c r="H153">
        <v>98581.95</v>
      </c>
      <c r="I153">
        <v>0</v>
      </c>
      <c r="J153" t="str">
        <f t="shared" si="10"/>
        <v>High</v>
      </c>
      <c r="K153" t="str">
        <f t="shared" si="11"/>
        <v>Normal</v>
      </c>
      <c r="L153">
        <f t="shared" si="12"/>
        <v>1</v>
      </c>
      <c r="M153">
        <f t="shared" si="13"/>
        <v>1</v>
      </c>
      <c r="N153" s="6">
        <f t="shared" si="14"/>
        <v>45693</v>
      </c>
    </row>
    <row r="154" spans="1:14" x14ac:dyDescent="0.3">
      <c r="A154">
        <v>857</v>
      </c>
      <c r="B154">
        <v>10084</v>
      </c>
      <c r="C154" t="s">
        <v>880</v>
      </c>
      <c r="D154" t="s">
        <v>20</v>
      </c>
      <c r="E154" t="s">
        <v>11</v>
      </c>
      <c r="F154" t="s">
        <v>12</v>
      </c>
      <c r="G154" t="s">
        <v>13</v>
      </c>
      <c r="H154">
        <v>118.63</v>
      </c>
      <c r="I154">
        <v>0</v>
      </c>
      <c r="J154" t="str">
        <f t="shared" si="10"/>
        <v>High</v>
      </c>
      <c r="K154" t="str">
        <f t="shared" si="11"/>
        <v>Normal</v>
      </c>
      <c r="L154">
        <f t="shared" si="12"/>
        <v>1</v>
      </c>
      <c r="M154">
        <f t="shared" si="13"/>
        <v>1</v>
      </c>
      <c r="N154" s="6">
        <f t="shared" si="14"/>
        <v>45693</v>
      </c>
    </row>
    <row r="155" spans="1:14" x14ac:dyDescent="0.3">
      <c r="A155">
        <v>858</v>
      </c>
      <c r="B155">
        <v>10013</v>
      </c>
      <c r="C155" t="s">
        <v>881</v>
      </c>
      <c r="D155" t="s">
        <v>10</v>
      </c>
      <c r="E155" t="s">
        <v>11</v>
      </c>
      <c r="F155" t="s">
        <v>12</v>
      </c>
      <c r="G155" t="s">
        <v>13</v>
      </c>
      <c r="H155">
        <v>61436.55</v>
      </c>
      <c r="I155">
        <v>1</v>
      </c>
      <c r="J155" t="str">
        <f t="shared" si="10"/>
        <v>High</v>
      </c>
      <c r="K155" t="str">
        <f t="shared" si="11"/>
        <v>High Risk</v>
      </c>
      <c r="L155">
        <f t="shared" si="12"/>
        <v>1</v>
      </c>
      <c r="M155">
        <f t="shared" si="13"/>
        <v>1</v>
      </c>
      <c r="N155" s="6">
        <f t="shared" si="14"/>
        <v>45693</v>
      </c>
    </row>
    <row r="156" spans="1:14" x14ac:dyDescent="0.3">
      <c r="A156">
        <v>859</v>
      </c>
      <c r="B156">
        <v>10065</v>
      </c>
      <c r="C156" t="s">
        <v>882</v>
      </c>
      <c r="D156" t="s">
        <v>23</v>
      </c>
      <c r="E156" t="s">
        <v>24</v>
      </c>
      <c r="F156" t="s">
        <v>17</v>
      </c>
      <c r="G156" t="s">
        <v>18</v>
      </c>
      <c r="H156">
        <v>61681.17</v>
      </c>
      <c r="I156">
        <v>0</v>
      </c>
      <c r="J156" t="str">
        <f t="shared" si="10"/>
        <v>High</v>
      </c>
      <c r="K156" t="str">
        <f t="shared" si="11"/>
        <v>Normal</v>
      </c>
      <c r="L156">
        <f t="shared" si="12"/>
        <v>1</v>
      </c>
      <c r="M156">
        <f t="shared" si="13"/>
        <v>1</v>
      </c>
      <c r="N156" s="6">
        <f t="shared" si="14"/>
        <v>45693</v>
      </c>
    </row>
    <row r="157" spans="1:14" x14ac:dyDescent="0.3">
      <c r="A157">
        <v>860</v>
      </c>
      <c r="B157">
        <v>10074</v>
      </c>
      <c r="C157" t="s">
        <v>883</v>
      </c>
      <c r="D157" t="s">
        <v>23</v>
      </c>
      <c r="E157" t="s">
        <v>11</v>
      </c>
      <c r="F157" t="s">
        <v>17</v>
      </c>
      <c r="G157" t="s">
        <v>21</v>
      </c>
      <c r="H157">
        <v>45798.559999999998</v>
      </c>
      <c r="I157">
        <v>0</v>
      </c>
      <c r="J157" t="str">
        <f t="shared" si="10"/>
        <v>High</v>
      </c>
      <c r="K157" t="str">
        <f t="shared" si="11"/>
        <v>Normal</v>
      </c>
      <c r="L157">
        <f t="shared" si="12"/>
        <v>1</v>
      </c>
      <c r="M157">
        <f t="shared" si="13"/>
        <v>1</v>
      </c>
      <c r="N157" s="6">
        <f t="shared" si="14"/>
        <v>45693</v>
      </c>
    </row>
    <row r="158" spans="1:14" x14ac:dyDescent="0.3">
      <c r="A158">
        <v>861</v>
      </c>
      <c r="B158">
        <v>10050</v>
      </c>
      <c r="C158" t="s">
        <v>884</v>
      </c>
      <c r="D158" t="s">
        <v>29</v>
      </c>
      <c r="E158" t="s">
        <v>24</v>
      </c>
      <c r="F158" t="s">
        <v>17</v>
      </c>
      <c r="G158" t="s">
        <v>25</v>
      </c>
      <c r="H158">
        <v>39755.1</v>
      </c>
      <c r="I158">
        <v>0</v>
      </c>
      <c r="J158" t="str">
        <f t="shared" si="10"/>
        <v>High</v>
      </c>
      <c r="K158" t="str">
        <f t="shared" si="11"/>
        <v>Normal</v>
      </c>
      <c r="L158">
        <f t="shared" si="12"/>
        <v>1</v>
      </c>
      <c r="M158">
        <f t="shared" si="13"/>
        <v>1</v>
      </c>
      <c r="N158" s="6">
        <f t="shared" si="14"/>
        <v>45693</v>
      </c>
    </row>
    <row r="159" spans="1:14" x14ac:dyDescent="0.3">
      <c r="A159">
        <v>862</v>
      </c>
      <c r="B159">
        <v>10037</v>
      </c>
      <c r="C159" t="s">
        <v>885</v>
      </c>
      <c r="D159" t="s">
        <v>29</v>
      </c>
      <c r="E159" t="s">
        <v>11</v>
      </c>
      <c r="F159" t="s">
        <v>17</v>
      </c>
      <c r="G159" t="s">
        <v>13</v>
      </c>
      <c r="H159">
        <v>45592.78</v>
      </c>
      <c r="I159">
        <v>0</v>
      </c>
      <c r="J159" t="str">
        <f t="shared" si="10"/>
        <v>High</v>
      </c>
      <c r="K159" t="str">
        <f t="shared" si="11"/>
        <v>Normal</v>
      </c>
      <c r="L159">
        <f t="shared" si="12"/>
        <v>1</v>
      </c>
      <c r="M159">
        <f t="shared" si="13"/>
        <v>1</v>
      </c>
      <c r="N159" s="6">
        <f t="shared" si="14"/>
        <v>45693</v>
      </c>
    </row>
    <row r="160" spans="1:14" x14ac:dyDescent="0.3">
      <c r="A160">
        <v>863</v>
      </c>
      <c r="B160">
        <v>10063</v>
      </c>
      <c r="C160" t="s">
        <v>886</v>
      </c>
      <c r="D160" t="s">
        <v>15</v>
      </c>
      <c r="E160" t="s">
        <v>16</v>
      </c>
      <c r="F160" t="s">
        <v>12</v>
      </c>
      <c r="G160" t="s">
        <v>25</v>
      </c>
      <c r="H160">
        <v>41554.550000000003</v>
      </c>
      <c r="I160">
        <v>0</v>
      </c>
      <c r="J160" t="str">
        <f t="shared" si="10"/>
        <v>High</v>
      </c>
      <c r="K160" t="str">
        <f t="shared" si="11"/>
        <v>Normal</v>
      </c>
      <c r="L160">
        <f t="shared" si="12"/>
        <v>1</v>
      </c>
      <c r="M160">
        <f t="shared" si="13"/>
        <v>1</v>
      </c>
      <c r="N160" s="6">
        <f t="shared" si="14"/>
        <v>45693</v>
      </c>
    </row>
    <row r="161" spans="1:14" x14ac:dyDescent="0.3">
      <c r="A161">
        <v>864</v>
      </c>
      <c r="B161">
        <v>10097</v>
      </c>
      <c r="C161" t="s">
        <v>887</v>
      </c>
      <c r="D161" t="s">
        <v>20</v>
      </c>
      <c r="E161" t="s">
        <v>16</v>
      </c>
      <c r="F161" t="s">
        <v>12</v>
      </c>
      <c r="G161" t="s">
        <v>31</v>
      </c>
      <c r="H161">
        <v>73076.2</v>
      </c>
      <c r="I161">
        <v>0</v>
      </c>
      <c r="J161" t="str">
        <f t="shared" si="10"/>
        <v>High</v>
      </c>
      <c r="K161" t="str">
        <f t="shared" si="11"/>
        <v>Normal</v>
      </c>
      <c r="L161">
        <f t="shared" si="12"/>
        <v>1</v>
      </c>
      <c r="M161">
        <f t="shared" si="13"/>
        <v>1</v>
      </c>
      <c r="N161" s="6">
        <f t="shared" si="14"/>
        <v>45693</v>
      </c>
    </row>
    <row r="162" spans="1:14" x14ac:dyDescent="0.3">
      <c r="A162">
        <v>817</v>
      </c>
      <c r="B162">
        <v>10052</v>
      </c>
      <c r="C162" t="s">
        <v>840</v>
      </c>
      <c r="D162" t="s">
        <v>15</v>
      </c>
      <c r="E162" t="s">
        <v>11</v>
      </c>
      <c r="F162" t="s">
        <v>17</v>
      </c>
      <c r="G162" t="s">
        <v>25</v>
      </c>
      <c r="H162">
        <v>97705.46</v>
      </c>
      <c r="I162">
        <v>1</v>
      </c>
      <c r="J162" t="str">
        <f t="shared" si="10"/>
        <v>High</v>
      </c>
      <c r="K162" t="str">
        <f t="shared" si="11"/>
        <v>High Risk</v>
      </c>
      <c r="L162">
        <f t="shared" si="12"/>
        <v>1</v>
      </c>
      <c r="M162">
        <f t="shared" si="13"/>
        <v>1</v>
      </c>
      <c r="N162" s="6">
        <f t="shared" si="14"/>
        <v>45692</v>
      </c>
    </row>
    <row r="163" spans="1:14" x14ac:dyDescent="0.3">
      <c r="A163">
        <v>818</v>
      </c>
      <c r="B163">
        <v>10022</v>
      </c>
      <c r="C163" t="s">
        <v>841</v>
      </c>
      <c r="D163" t="s">
        <v>15</v>
      </c>
      <c r="E163" t="s">
        <v>11</v>
      </c>
      <c r="F163" t="s">
        <v>17</v>
      </c>
      <c r="G163" t="s">
        <v>21</v>
      </c>
      <c r="H163">
        <v>54522.75</v>
      </c>
      <c r="I163">
        <v>1</v>
      </c>
      <c r="J163" t="str">
        <f t="shared" si="10"/>
        <v>High</v>
      </c>
      <c r="K163" t="str">
        <f t="shared" si="11"/>
        <v>High Risk</v>
      </c>
      <c r="L163">
        <f t="shared" si="12"/>
        <v>1</v>
      </c>
      <c r="M163">
        <f t="shared" si="13"/>
        <v>1</v>
      </c>
      <c r="N163" s="6">
        <f t="shared" si="14"/>
        <v>45692</v>
      </c>
    </row>
    <row r="164" spans="1:14" x14ac:dyDescent="0.3">
      <c r="A164">
        <v>819</v>
      </c>
      <c r="B164">
        <v>10052</v>
      </c>
      <c r="C164" t="s">
        <v>842</v>
      </c>
      <c r="D164" t="s">
        <v>10</v>
      </c>
      <c r="E164" t="s">
        <v>24</v>
      </c>
      <c r="F164" t="s">
        <v>12</v>
      </c>
      <c r="G164" t="s">
        <v>18</v>
      </c>
      <c r="H164">
        <v>13655.26</v>
      </c>
      <c r="I164">
        <v>0</v>
      </c>
      <c r="J164" t="str">
        <f t="shared" si="10"/>
        <v>High</v>
      </c>
      <c r="K164" t="str">
        <f t="shared" si="11"/>
        <v>Normal</v>
      </c>
      <c r="L164">
        <f t="shared" si="12"/>
        <v>1</v>
      </c>
      <c r="M164">
        <f t="shared" si="13"/>
        <v>1</v>
      </c>
      <c r="N164" s="6">
        <f t="shared" si="14"/>
        <v>45692</v>
      </c>
    </row>
    <row r="165" spans="1:14" x14ac:dyDescent="0.3">
      <c r="A165">
        <v>820</v>
      </c>
      <c r="B165">
        <v>10036</v>
      </c>
      <c r="C165" t="s">
        <v>843</v>
      </c>
      <c r="D165" t="s">
        <v>20</v>
      </c>
      <c r="E165" t="s">
        <v>24</v>
      </c>
      <c r="F165" t="s">
        <v>17</v>
      </c>
      <c r="G165" t="s">
        <v>18</v>
      </c>
      <c r="H165">
        <v>89374.16</v>
      </c>
      <c r="I165">
        <v>0</v>
      </c>
      <c r="J165" t="str">
        <f t="shared" si="10"/>
        <v>High</v>
      </c>
      <c r="K165" t="str">
        <f t="shared" si="11"/>
        <v>Normal</v>
      </c>
      <c r="L165">
        <f t="shared" si="12"/>
        <v>1</v>
      </c>
      <c r="M165">
        <f t="shared" si="13"/>
        <v>1</v>
      </c>
      <c r="N165" s="6">
        <f t="shared" si="14"/>
        <v>45692</v>
      </c>
    </row>
    <row r="166" spans="1:14" x14ac:dyDescent="0.3">
      <c r="A166">
        <v>821</v>
      </c>
      <c r="B166">
        <v>10073</v>
      </c>
      <c r="C166" t="s">
        <v>844</v>
      </c>
      <c r="D166" t="s">
        <v>10</v>
      </c>
      <c r="E166" t="s">
        <v>24</v>
      </c>
      <c r="F166" t="s">
        <v>17</v>
      </c>
      <c r="G166" t="s">
        <v>25</v>
      </c>
      <c r="H166">
        <v>7556.38</v>
      </c>
      <c r="I166">
        <v>0</v>
      </c>
      <c r="J166" t="str">
        <f t="shared" si="10"/>
        <v>High</v>
      </c>
      <c r="K166" t="str">
        <f t="shared" si="11"/>
        <v>Normal</v>
      </c>
      <c r="L166">
        <f t="shared" si="12"/>
        <v>1</v>
      </c>
      <c r="M166">
        <f t="shared" si="13"/>
        <v>1</v>
      </c>
      <c r="N166" s="6">
        <f t="shared" si="14"/>
        <v>45692</v>
      </c>
    </row>
    <row r="167" spans="1:14" x14ac:dyDescent="0.3">
      <c r="A167">
        <v>822</v>
      </c>
      <c r="B167">
        <v>10073</v>
      </c>
      <c r="C167" t="s">
        <v>845</v>
      </c>
      <c r="D167" t="s">
        <v>20</v>
      </c>
      <c r="E167" t="s">
        <v>24</v>
      </c>
      <c r="F167" t="s">
        <v>17</v>
      </c>
      <c r="G167" t="s">
        <v>21</v>
      </c>
      <c r="H167">
        <v>90782.77</v>
      </c>
      <c r="I167">
        <v>0</v>
      </c>
      <c r="J167" t="str">
        <f t="shared" si="10"/>
        <v>High</v>
      </c>
      <c r="K167" t="str">
        <f t="shared" si="11"/>
        <v>Normal</v>
      </c>
      <c r="L167">
        <f t="shared" si="12"/>
        <v>1</v>
      </c>
      <c r="M167">
        <f t="shared" si="13"/>
        <v>1</v>
      </c>
      <c r="N167" s="6">
        <f t="shared" si="14"/>
        <v>45692</v>
      </c>
    </row>
    <row r="168" spans="1:14" x14ac:dyDescent="0.3">
      <c r="A168">
        <v>823</v>
      </c>
      <c r="B168">
        <v>10082</v>
      </c>
      <c r="C168" t="s">
        <v>846</v>
      </c>
      <c r="D168" t="s">
        <v>20</v>
      </c>
      <c r="E168" t="s">
        <v>16</v>
      </c>
      <c r="F168" t="s">
        <v>17</v>
      </c>
      <c r="G168" t="s">
        <v>13</v>
      </c>
      <c r="H168">
        <v>99656.91</v>
      </c>
      <c r="I168">
        <v>0</v>
      </c>
      <c r="J168" t="str">
        <f t="shared" si="10"/>
        <v>High</v>
      </c>
      <c r="K168" t="str">
        <f t="shared" si="11"/>
        <v>Normal</v>
      </c>
      <c r="L168">
        <f t="shared" si="12"/>
        <v>1</v>
      </c>
      <c r="M168">
        <f t="shared" si="13"/>
        <v>1</v>
      </c>
      <c r="N168" s="6">
        <f t="shared" si="14"/>
        <v>45692</v>
      </c>
    </row>
    <row r="169" spans="1:14" x14ac:dyDescent="0.3">
      <c r="A169">
        <v>824</v>
      </c>
      <c r="B169">
        <v>10016</v>
      </c>
      <c r="C169" t="s">
        <v>847</v>
      </c>
      <c r="D169" t="s">
        <v>23</v>
      </c>
      <c r="E169" t="s">
        <v>16</v>
      </c>
      <c r="F169" t="s">
        <v>17</v>
      </c>
      <c r="G169" t="s">
        <v>25</v>
      </c>
      <c r="H169">
        <v>70073.14</v>
      </c>
      <c r="I169">
        <v>0</v>
      </c>
      <c r="J169" t="str">
        <f t="shared" si="10"/>
        <v>High</v>
      </c>
      <c r="K169" t="str">
        <f t="shared" si="11"/>
        <v>Normal</v>
      </c>
      <c r="L169">
        <f t="shared" si="12"/>
        <v>1</v>
      </c>
      <c r="M169">
        <f t="shared" si="13"/>
        <v>1</v>
      </c>
      <c r="N169" s="6">
        <f t="shared" si="14"/>
        <v>45692</v>
      </c>
    </row>
    <row r="170" spans="1:14" x14ac:dyDescent="0.3">
      <c r="A170">
        <v>825</v>
      </c>
      <c r="B170">
        <v>10084</v>
      </c>
      <c r="C170" t="s">
        <v>848</v>
      </c>
      <c r="D170" t="s">
        <v>23</v>
      </c>
      <c r="E170" t="s">
        <v>16</v>
      </c>
      <c r="F170" t="s">
        <v>17</v>
      </c>
      <c r="G170" t="s">
        <v>21</v>
      </c>
      <c r="H170">
        <v>77067.679999999993</v>
      </c>
      <c r="I170">
        <v>0</v>
      </c>
      <c r="J170" t="str">
        <f t="shared" si="10"/>
        <v>High</v>
      </c>
      <c r="K170" t="str">
        <f t="shared" si="11"/>
        <v>Normal</v>
      </c>
      <c r="L170">
        <f t="shared" si="12"/>
        <v>1</v>
      </c>
      <c r="M170">
        <f t="shared" si="13"/>
        <v>1</v>
      </c>
      <c r="N170" s="6">
        <f t="shared" si="14"/>
        <v>45692</v>
      </c>
    </row>
    <row r="171" spans="1:14" x14ac:dyDescent="0.3">
      <c r="A171">
        <v>826</v>
      </c>
      <c r="B171">
        <v>10077</v>
      </c>
      <c r="C171" t="s">
        <v>849</v>
      </c>
      <c r="D171" t="s">
        <v>20</v>
      </c>
      <c r="E171" t="s">
        <v>24</v>
      </c>
      <c r="F171" t="s">
        <v>12</v>
      </c>
      <c r="G171" t="s">
        <v>18</v>
      </c>
      <c r="H171">
        <v>33796.550000000003</v>
      </c>
      <c r="I171">
        <v>0</v>
      </c>
      <c r="J171" t="str">
        <f t="shared" si="10"/>
        <v>High</v>
      </c>
      <c r="K171" t="str">
        <f t="shared" si="11"/>
        <v>Normal</v>
      </c>
      <c r="L171">
        <f t="shared" si="12"/>
        <v>1</v>
      </c>
      <c r="M171">
        <f t="shared" si="13"/>
        <v>1</v>
      </c>
      <c r="N171" s="6">
        <f t="shared" si="14"/>
        <v>45692</v>
      </c>
    </row>
    <row r="172" spans="1:14" x14ac:dyDescent="0.3">
      <c r="A172">
        <v>827</v>
      </c>
      <c r="B172">
        <v>10072</v>
      </c>
      <c r="C172" t="s">
        <v>850</v>
      </c>
      <c r="D172" t="s">
        <v>20</v>
      </c>
      <c r="E172" t="s">
        <v>24</v>
      </c>
      <c r="F172" t="s">
        <v>12</v>
      </c>
      <c r="G172" t="s">
        <v>21</v>
      </c>
      <c r="H172">
        <v>94163.53</v>
      </c>
      <c r="I172">
        <v>0</v>
      </c>
      <c r="J172" t="str">
        <f t="shared" si="10"/>
        <v>High</v>
      </c>
      <c r="K172" t="str">
        <f t="shared" si="11"/>
        <v>Normal</v>
      </c>
      <c r="L172">
        <f t="shared" si="12"/>
        <v>1</v>
      </c>
      <c r="M172">
        <f t="shared" si="13"/>
        <v>1</v>
      </c>
      <c r="N172" s="6">
        <f t="shared" si="14"/>
        <v>45692</v>
      </c>
    </row>
    <row r="173" spans="1:14" x14ac:dyDescent="0.3">
      <c r="A173">
        <v>828</v>
      </c>
      <c r="B173">
        <v>10000</v>
      </c>
      <c r="C173" t="s">
        <v>851</v>
      </c>
      <c r="D173" t="s">
        <v>10</v>
      </c>
      <c r="E173" t="s">
        <v>24</v>
      </c>
      <c r="F173" t="s">
        <v>17</v>
      </c>
      <c r="G173" t="s">
        <v>21</v>
      </c>
      <c r="H173">
        <v>53018.43</v>
      </c>
      <c r="I173">
        <v>0</v>
      </c>
      <c r="J173" t="str">
        <f t="shared" si="10"/>
        <v>High</v>
      </c>
      <c r="K173" t="str">
        <f t="shared" si="11"/>
        <v>Normal</v>
      </c>
      <c r="L173">
        <f t="shared" si="12"/>
        <v>1</v>
      </c>
      <c r="M173">
        <f t="shared" si="13"/>
        <v>1</v>
      </c>
      <c r="N173" s="6">
        <f t="shared" si="14"/>
        <v>45692</v>
      </c>
    </row>
    <row r="174" spans="1:14" x14ac:dyDescent="0.3">
      <c r="A174">
        <v>829</v>
      </c>
      <c r="B174">
        <v>10050</v>
      </c>
      <c r="C174" t="s">
        <v>852</v>
      </c>
      <c r="D174" t="s">
        <v>10</v>
      </c>
      <c r="E174" t="s">
        <v>16</v>
      </c>
      <c r="F174" t="s">
        <v>12</v>
      </c>
      <c r="G174" t="s">
        <v>21</v>
      </c>
      <c r="H174">
        <v>73265.61</v>
      </c>
      <c r="I174">
        <v>0</v>
      </c>
      <c r="J174" t="str">
        <f t="shared" si="10"/>
        <v>High</v>
      </c>
      <c r="K174" t="str">
        <f t="shared" si="11"/>
        <v>Normal</v>
      </c>
      <c r="L174">
        <f t="shared" si="12"/>
        <v>1</v>
      </c>
      <c r="M174">
        <f t="shared" si="13"/>
        <v>1</v>
      </c>
      <c r="N174" s="6">
        <f t="shared" si="14"/>
        <v>45692</v>
      </c>
    </row>
    <row r="175" spans="1:14" x14ac:dyDescent="0.3">
      <c r="A175">
        <v>830</v>
      </c>
      <c r="B175">
        <v>10044</v>
      </c>
      <c r="C175" t="s">
        <v>853</v>
      </c>
      <c r="D175" t="s">
        <v>23</v>
      </c>
      <c r="E175" t="s">
        <v>24</v>
      </c>
      <c r="F175" t="s">
        <v>12</v>
      </c>
      <c r="G175" t="s">
        <v>13</v>
      </c>
      <c r="H175">
        <v>92418.36</v>
      </c>
      <c r="I175">
        <v>0</v>
      </c>
      <c r="J175" t="str">
        <f t="shared" si="10"/>
        <v>High</v>
      </c>
      <c r="K175" t="str">
        <f t="shared" si="11"/>
        <v>Normal</v>
      </c>
      <c r="L175">
        <f t="shared" si="12"/>
        <v>1</v>
      </c>
      <c r="M175">
        <f t="shared" si="13"/>
        <v>1</v>
      </c>
      <c r="N175" s="6">
        <f t="shared" si="14"/>
        <v>45692</v>
      </c>
    </row>
    <row r="176" spans="1:14" x14ac:dyDescent="0.3">
      <c r="A176">
        <v>831</v>
      </c>
      <c r="B176">
        <v>10076</v>
      </c>
      <c r="C176" t="s">
        <v>854</v>
      </c>
      <c r="D176" t="s">
        <v>15</v>
      </c>
      <c r="E176" t="s">
        <v>11</v>
      </c>
      <c r="F176" t="s">
        <v>17</v>
      </c>
      <c r="G176" t="s">
        <v>21</v>
      </c>
      <c r="H176">
        <v>97520.48</v>
      </c>
      <c r="I176">
        <v>1</v>
      </c>
      <c r="J176" t="str">
        <f t="shared" si="10"/>
        <v>High</v>
      </c>
      <c r="K176" t="str">
        <f t="shared" si="11"/>
        <v>High Risk</v>
      </c>
      <c r="L176">
        <f t="shared" si="12"/>
        <v>1</v>
      </c>
      <c r="M176">
        <f t="shared" si="13"/>
        <v>1</v>
      </c>
      <c r="N176" s="6">
        <f t="shared" si="14"/>
        <v>45692</v>
      </c>
    </row>
    <row r="177" spans="1:14" x14ac:dyDescent="0.3">
      <c r="A177">
        <v>832</v>
      </c>
      <c r="B177">
        <v>10003</v>
      </c>
      <c r="C177" t="s">
        <v>855</v>
      </c>
      <c r="D177" t="s">
        <v>20</v>
      </c>
      <c r="E177" t="s">
        <v>11</v>
      </c>
      <c r="F177" t="s">
        <v>17</v>
      </c>
      <c r="G177" t="s">
        <v>13</v>
      </c>
      <c r="H177">
        <v>83337.119999999995</v>
      </c>
      <c r="I177">
        <v>1</v>
      </c>
      <c r="J177" t="str">
        <f t="shared" si="10"/>
        <v>High</v>
      </c>
      <c r="K177" t="str">
        <f t="shared" si="11"/>
        <v>High Risk</v>
      </c>
      <c r="L177">
        <f t="shared" si="12"/>
        <v>1</v>
      </c>
      <c r="M177">
        <f t="shared" si="13"/>
        <v>1</v>
      </c>
      <c r="N177" s="6">
        <f t="shared" si="14"/>
        <v>45692</v>
      </c>
    </row>
    <row r="178" spans="1:14" x14ac:dyDescent="0.3">
      <c r="A178">
        <v>833</v>
      </c>
      <c r="B178">
        <v>10061</v>
      </c>
      <c r="C178" t="s">
        <v>856</v>
      </c>
      <c r="D178" t="s">
        <v>10</v>
      </c>
      <c r="E178" t="s">
        <v>24</v>
      </c>
      <c r="F178" t="s">
        <v>17</v>
      </c>
      <c r="G178" t="s">
        <v>18</v>
      </c>
      <c r="H178">
        <v>30371.45</v>
      </c>
      <c r="I178">
        <v>0</v>
      </c>
      <c r="J178" t="str">
        <f t="shared" si="10"/>
        <v>High</v>
      </c>
      <c r="K178" t="str">
        <f t="shared" si="11"/>
        <v>Normal</v>
      </c>
      <c r="L178">
        <f t="shared" si="12"/>
        <v>1</v>
      </c>
      <c r="M178">
        <f t="shared" si="13"/>
        <v>1</v>
      </c>
      <c r="N178" s="6">
        <f t="shared" si="14"/>
        <v>45692</v>
      </c>
    </row>
    <row r="179" spans="1:14" x14ac:dyDescent="0.3">
      <c r="A179">
        <v>834</v>
      </c>
      <c r="B179">
        <v>10064</v>
      </c>
      <c r="C179" t="s">
        <v>857</v>
      </c>
      <c r="D179" t="s">
        <v>23</v>
      </c>
      <c r="E179" t="s">
        <v>11</v>
      </c>
      <c r="F179" t="s">
        <v>12</v>
      </c>
      <c r="G179" t="s">
        <v>13</v>
      </c>
      <c r="H179">
        <v>96658.1</v>
      </c>
      <c r="I179">
        <v>1</v>
      </c>
      <c r="J179" t="str">
        <f t="shared" si="10"/>
        <v>High</v>
      </c>
      <c r="K179" t="str">
        <f t="shared" si="11"/>
        <v>High Risk</v>
      </c>
      <c r="L179">
        <f t="shared" si="12"/>
        <v>1</v>
      </c>
      <c r="M179">
        <f t="shared" si="13"/>
        <v>1</v>
      </c>
      <c r="N179" s="6">
        <f t="shared" si="14"/>
        <v>45692</v>
      </c>
    </row>
    <row r="180" spans="1:14" x14ac:dyDescent="0.3">
      <c r="A180">
        <v>835</v>
      </c>
      <c r="B180">
        <v>10031</v>
      </c>
      <c r="C180" t="s">
        <v>858</v>
      </c>
      <c r="D180" t="s">
        <v>10</v>
      </c>
      <c r="E180" t="s">
        <v>11</v>
      </c>
      <c r="F180" t="s">
        <v>17</v>
      </c>
      <c r="G180" t="s">
        <v>18</v>
      </c>
      <c r="H180">
        <v>62849.14</v>
      </c>
      <c r="I180">
        <v>1</v>
      </c>
      <c r="J180" t="str">
        <f t="shared" si="10"/>
        <v>High</v>
      </c>
      <c r="K180" t="str">
        <f t="shared" si="11"/>
        <v>High Risk</v>
      </c>
      <c r="L180">
        <f t="shared" si="12"/>
        <v>1</v>
      </c>
      <c r="M180">
        <f t="shared" si="13"/>
        <v>1</v>
      </c>
      <c r="N180" s="6">
        <f t="shared" si="14"/>
        <v>45692</v>
      </c>
    </row>
    <row r="181" spans="1:14" x14ac:dyDescent="0.3">
      <c r="A181">
        <v>836</v>
      </c>
      <c r="B181">
        <v>10033</v>
      </c>
      <c r="C181" t="s">
        <v>859</v>
      </c>
      <c r="D181" t="s">
        <v>20</v>
      </c>
      <c r="E181" t="s">
        <v>16</v>
      </c>
      <c r="F181" t="s">
        <v>12</v>
      </c>
      <c r="G181" t="s">
        <v>18</v>
      </c>
      <c r="H181">
        <v>93071.18</v>
      </c>
      <c r="I181">
        <v>0</v>
      </c>
      <c r="J181" t="str">
        <f t="shared" si="10"/>
        <v>High</v>
      </c>
      <c r="K181" t="str">
        <f t="shared" si="11"/>
        <v>Normal</v>
      </c>
      <c r="L181">
        <f t="shared" si="12"/>
        <v>1</v>
      </c>
      <c r="M181">
        <f t="shared" si="13"/>
        <v>1</v>
      </c>
      <c r="N181" s="6">
        <f t="shared" si="14"/>
        <v>45692</v>
      </c>
    </row>
    <row r="182" spans="1:14" x14ac:dyDescent="0.3">
      <c r="A182">
        <v>837</v>
      </c>
      <c r="B182">
        <v>10091</v>
      </c>
      <c r="C182" t="s">
        <v>860</v>
      </c>
      <c r="D182" t="s">
        <v>20</v>
      </c>
      <c r="E182" t="s">
        <v>24</v>
      </c>
      <c r="F182" t="s">
        <v>17</v>
      </c>
      <c r="G182" t="s">
        <v>13</v>
      </c>
      <c r="H182">
        <v>67642.89</v>
      </c>
      <c r="I182">
        <v>0</v>
      </c>
      <c r="J182" t="str">
        <f t="shared" si="10"/>
        <v>High</v>
      </c>
      <c r="K182" t="str">
        <f t="shared" si="11"/>
        <v>Normal</v>
      </c>
      <c r="L182">
        <f t="shared" si="12"/>
        <v>1</v>
      </c>
      <c r="M182">
        <f t="shared" si="13"/>
        <v>1</v>
      </c>
      <c r="N182" s="6">
        <f t="shared" si="14"/>
        <v>45692</v>
      </c>
    </row>
    <row r="183" spans="1:14" x14ac:dyDescent="0.3">
      <c r="A183">
        <v>838</v>
      </c>
      <c r="B183">
        <v>10094</v>
      </c>
      <c r="C183" t="s">
        <v>861</v>
      </c>
      <c r="D183" t="s">
        <v>29</v>
      </c>
      <c r="E183" t="s">
        <v>24</v>
      </c>
      <c r="F183" t="s">
        <v>12</v>
      </c>
      <c r="G183" t="s">
        <v>25</v>
      </c>
      <c r="H183">
        <v>30793.17</v>
      </c>
      <c r="I183">
        <v>0</v>
      </c>
      <c r="J183" t="str">
        <f t="shared" si="10"/>
        <v>High</v>
      </c>
      <c r="K183" t="str">
        <f t="shared" si="11"/>
        <v>Normal</v>
      </c>
      <c r="L183">
        <f t="shared" si="12"/>
        <v>1</v>
      </c>
      <c r="M183">
        <f t="shared" si="13"/>
        <v>1</v>
      </c>
      <c r="N183" s="6">
        <f t="shared" si="14"/>
        <v>45692</v>
      </c>
    </row>
    <row r="184" spans="1:14" x14ac:dyDescent="0.3">
      <c r="A184">
        <v>839</v>
      </c>
      <c r="B184">
        <v>10071</v>
      </c>
      <c r="C184" t="s">
        <v>862</v>
      </c>
      <c r="D184" t="s">
        <v>15</v>
      </c>
      <c r="E184" t="s">
        <v>16</v>
      </c>
      <c r="F184" t="s">
        <v>17</v>
      </c>
      <c r="G184" t="s">
        <v>31</v>
      </c>
      <c r="H184">
        <v>37065.449999999997</v>
      </c>
      <c r="I184">
        <v>0</v>
      </c>
      <c r="J184" t="str">
        <f t="shared" si="10"/>
        <v>High</v>
      </c>
      <c r="K184" t="str">
        <f t="shared" si="11"/>
        <v>Normal</v>
      </c>
      <c r="L184">
        <f t="shared" si="12"/>
        <v>1</v>
      </c>
      <c r="M184">
        <f t="shared" si="13"/>
        <v>1</v>
      </c>
      <c r="N184" s="6">
        <f t="shared" si="14"/>
        <v>45692</v>
      </c>
    </row>
    <row r="185" spans="1:14" x14ac:dyDescent="0.3">
      <c r="A185">
        <v>840</v>
      </c>
      <c r="B185">
        <v>10038</v>
      </c>
      <c r="C185" t="s">
        <v>863</v>
      </c>
      <c r="D185" t="s">
        <v>29</v>
      </c>
      <c r="E185" t="s">
        <v>11</v>
      </c>
      <c r="F185" t="s">
        <v>17</v>
      </c>
      <c r="G185" t="s">
        <v>21</v>
      </c>
      <c r="H185">
        <v>55092.13</v>
      </c>
      <c r="I185">
        <v>1</v>
      </c>
      <c r="J185" t="str">
        <f t="shared" si="10"/>
        <v>High</v>
      </c>
      <c r="K185" t="str">
        <f t="shared" si="11"/>
        <v>High Risk</v>
      </c>
      <c r="L185">
        <f t="shared" si="12"/>
        <v>1</v>
      </c>
      <c r="M185">
        <f t="shared" si="13"/>
        <v>1</v>
      </c>
      <c r="N185" s="6">
        <f t="shared" si="14"/>
        <v>45692</v>
      </c>
    </row>
    <row r="186" spans="1:14" x14ac:dyDescent="0.3">
      <c r="A186">
        <v>793</v>
      </c>
      <c r="B186">
        <v>10048</v>
      </c>
      <c r="C186" t="s">
        <v>816</v>
      </c>
      <c r="D186" t="s">
        <v>20</v>
      </c>
      <c r="E186" t="s">
        <v>24</v>
      </c>
      <c r="F186" t="s">
        <v>12</v>
      </c>
      <c r="G186" t="s">
        <v>31</v>
      </c>
      <c r="H186">
        <v>49256.24</v>
      </c>
      <c r="I186">
        <v>0</v>
      </c>
      <c r="J186" t="str">
        <f t="shared" si="10"/>
        <v>High</v>
      </c>
      <c r="K186" t="str">
        <f t="shared" si="11"/>
        <v>Normal</v>
      </c>
      <c r="L186">
        <f t="shared" si="12"/>
        <v>1</v>
      </c>
      <c r="M186">
        <f t="shared" si="13"/>
        <v>1</v>
      </c>
      <c r="N186" s="6">
        <f t="shared" si="14"/>
        <v>45691</v>
      </c>
    </row>
    <row r="187" spans="1:14" x14ac:dyDescent="0.3">
      <c r="A187">
        <v>794</v>
      </c>
      <c r="B187">
        <v>10010</v>
      </c>
      <c r="C187" t="s">
        <v>817</v>
      </c>
      <c r="D187" t="s">
        <v>15</v>
      </c>
      <c r="E187" t="s">
        <v>16</v>
      </c>
      <c r="F187" t="s">
        <v>12</v>
      </c>
      <c r="G187" t="s">
        <v>13</v>
      </c>
      <c r="H187">
        <v>79671.199999999997</v>
      </c>
      <c r="I187">
        <v>0</v>
      </c>
      <c r="J187" t="str">
        <f t="shared" si="10"/>
        <v>High</v>
      </c>
      <c r="K187" t="str">
        <f t="shared" si="11"/>
        <v>Normal</v>
      </c>
      <c r="L187">
        <f t="shared" si="12"/>
        <v>1</v>
      </c>
      <c r="M187">
        <f t="shared" si="13"/>
        <v>1</v>
      </c>
      <c r="N187" s="6">
        <f t="shared" si="14"/>
        <v>45691</v>
      </c>
    </row>
    <row r="188" spans="1:14" x14ac:dyDescent="0.3">
      <c r="A188">
        <v>795</v>
      </c>
      <c r="B188">
        <v>10084</v>
      </c>
      <c r="C188" t="s">
        <v>818</v>
      </c>
      <c r="D188" t="s">
        <v>10</v>
      </c>
      <c r="E188" t="s">
        <v>11</v>
      </c>
      <c r="F188" t="s">
        <v>17</v>
      </c>
      <c r="G188" t="s">
        <v>18</v>
      </c>
      <c r="H188">
        <v>23330.880000000001</v>
      </c>
      <c r="I188">
        <v>0</v>
      </c>
      <c r="J188" t="str">
        <f t="shared" si="10"/>
        <v>High</v>
      </c>
      <c r="K188" t="str">
        <f t="shared" si="11"/>
        <v>Normal</v>
      </c>
      <c r="L188">
        <f t="shared" si="12"/>
        <v>1</v>
      </c>
      <c r="M188">
        <f t="shared" si="13"/>
        <v>1</v>
      </c>
      <c r="N188" s="6">
        <f t="shared" si="14"/>
        <v>45691</v>
      </c>
    </row>
    <row r="189" spans="1:14" x14ac:dyDescent="0.3">
      <c r="A189">
        <v>796</v>
      </c>
      <c r="B189">
        <v>10025</v>
      </c>
      <c r="C189" t="s">
        <v>819</v>
      </c>
      <c r="D189" t="s">
        <v>15</v>
      </c>
      <c r="E189" t="s">
        <v>11</v>
      </c>
      <c r="F189" t="s">
        <v>12</v>
      </c>
      <c r="G189" t="s">
        <v>21</v>
      </c>
      <c r="H189">
        <v>22680.720000000001</v>
      </c>
      <c r="I189">
        <v>0</v>
      </c>
      <c r="J189" t="str">
        <f t="shared" si="10"/>
        <v>High</v>
      </c>
      <c r="K189" t="str">
        <f t="shared" si="11"/>
        <v>Normal</v>
      </c>
      <c r="L189">
        <f t="shared" si="12"/>
        <v>1</v>
      </c>
      <c r="M189">
        <f t="shared" si="13"/>
        <v>1</v>
      </c>
      <c r="N189" s="6">
        <f t="shared" si="14"/>
        <v>45691</v>
      </c>
    </row>
    <row r="190" spans="1:14" x14ac:dyDescent="0.3">
      <c r="A190">
        <v>797</v>
      </c>
      <c r="B190">
        <v>10062</v>
      </c>
      <c r="C190" t="s">
        <v>820</v>
      </c>
      <c r="D190" t="s">
        <v>15</v>
      </c>
      <c r="E190" t="s">
        <v>11</v>
      </c>
      <c r="F190" t="s">
        <v>12</v>
      </c>
      <c r="G190" t="s">
        <v>21</v>
      </c>
      <c r="H190">
        <v>55149.99</v>
      </c>
      <c r="I190">
        <v>1</v>
      </c>
      <c r="J190" t="str">
        <f t="shared" si="10"/>
        <v>High</v>
      </c>
      <c r="K190" t="str">
        <f t="shared" si="11"/>
        <v>High Risk</v>
      </c>
      <c r="L190">
        <f t="shared" si="12"/>
        <v>1</v>
      </c>
      <c r="M190">
        <f t="shared" si="13"/>
        <v>1</v>
      </c>
      <c r="N190" s="6">
        <f t="shared" si="14"/>
        <v>45691</v>
      </c>
    </row>
    <row r="191" spans="1:14" x14ac:dyDescent="0.3">
      <c r="A191">
        <v>798</v>
      </c>
      <c r="B191">
        <v>10088</v>
      </c>
      <c r="C191" t="s">
        <v>821</v>
      </c>
      <c r="D191" t="s">
        <v>15</v>
      </c>
      <c r="E191" t="s">
        <v>11</v>
      </c>
      <c r="F191" t="s">
        <v>12</v>
      </c>
      <c r="G191" t="s">
        <v>21</v>
      </c>
      <c r="H191">
        <v>52404</v>
      </c>
      <c r="I191">
        <v>1</v>
      </c>
      <c r="J191" t="str">
        <f t="shared" si="10"/>
        <v>High</v>
      </c>
      <c r="K191" t="str">
        <f t="shared" si="11"/>
        <v>High Risk</v>
      </c>
      <c r="L191">
        <f t="shared" si="12"/>
        <v>1</v>
      </c>
      <c r="M191">
        <f t="shared" si="13"/>
        <v>1</v>
      </c>
      <c r="N191" s="6">
        <f t="shared" si="14"/>
        <v>45691</v>
      </c>
    </row>
    <row r="192" spans="1:14" x14ac:dyDescent="0.3">
      <c r="A192">
        <v>799</v>
      </c>
      <c r="B192">
        <v>10085</v>
      </c>
      <c r="C192" t="s">
        <v>822</v>
      </c>
      <c r="D192" t="s">
        <v>29</v>
      </c>
      <c r="E192" t="s">
        <v>11</v>
      </c>
      <c r="F192" t="s">
        <v>17</v>
      </c>
      <c r="G192" t="s">
        <v>13</v>
      </c>
      <c r="H192">
        <v>28298.02</v>
      </c>
      <c r="I192">
        <v>0</v>
      </c>
      <c r="J192" t="str">
        <f t="shared" si="10"/>
        <v>High</v>
      </c>
      <c r="K192" t="str">
        <f t="shared" si="11"/>
        <v>Normal</v>
      </c>
      <c r="L192">
        <f t="shared" si="12"/>
        <v>1</v>
      </c>
      <c r="M192">
        <f t="shared" si="13"/>
        <v>1</v>
      </c>
      <c r="N192" s="6">
        <f t="shared" si="14"/>
        <v>45691</v>
      </c>
    </row>
    <row r="193" spans="1:14" x14ac:dyDescent="0.3">
      <c r="A193">
        <v>800</v>
      </c>
      <c r="B193">
        <v>10058</v>
      </c>
      <c r="C193" t="s">
        <v>823</v>
      </c>
      <c r="D193" t="s">
        <v>15</v>
      </c>
      <c r="E193" t="s">
        <v>24</v>
      </c>
      <c r="F193" t="s">
        <v>12</v>
      </c>
      <c r="G193" t="s">
        <v>13</v>
      </c>
      <c r="H193">
        <v>29877.759999999998</v>
      </c>
      <c r="I193">
        <v>0</v>
      </c>
      <c r="J193" t="str">
        <f t="shared" si="10"/>
        <v>High</v>
      </c>
      <c r="K193" t="str">
        <f t="shared" si="11"/>
        <v>Normal</v>
      </c>
      <c r="L193">
        <f t="shared" si="12"/>
        <v>1</v>
      </c>
      <c r="M193">
        <f t="shared" si="13"/>
        <v>1</v>
      </c>
      <c r="N193" s="6">
        <f t="shared" si="14"/>
        <v>45691</v>
      </c>
    </row>
    <row r="194" spans="1:14" x14ac:dyDescent="0.3">
      <c r="A194">
        <v>801</v>
      </c>
      <c r="B194">
        <v>10026</v>
      </c>
      <c r="C194" t="s">
        <v>824</v>
      </c>
      <c r="D194" t="s">
        <v>29</v>
      </c>
      <c r="E194" t="s">
        <v>11</v>
      </c>
      <c r="F194" t="s">
        <v>17</v>
      </c>
      <c r="G194" t="s">
        <v>25</v>
      </c>
      <c r="H194">
        <v>27856.73</v>
      </c>
      <c r="I194">
        <v>0</v>
      </c>
      <c r="J194" t="str">
        <f t="shared" ref="J194:J257" si="15">IF(E194&gt;50000,"High","Normal")</f>
        <v>High</v>
      </c>
      <c r="K194" t="str">
        <f t="shared" ref="K194:K257" si="16">IF(AND(H194&gt;50000,E194="Online"),"High Risk","Normal")</f>
        <v>Normal</v>
      </c>
      <c r="L194">
        <f t="shared" ref="L194:L257" si="17">COUNTIFS(C:C,C194,B:B,B194)</f>
        <v>1</v>
      </c>
      <c r="M194">
        <f t="shared" ref="M194:M257" si="18">IF(E194&gt;50000,1,0) + IF(H194="Unusual",1,0) + IF(I194&gt;3,1,0)</f>
        <v>1</v>
      </c>
      <c r="N194" s="6">
        <f t="shared" ref="N194:N257" si="19">INT(C194)</f>
        <v>45691</v>
      </c>
    </row>
    <row r="195" spans="1:14" x14ac:dyDescent="0.3">
      <c r="A195">
        <v>802</v>
      </c>
      <c r="B195">
        <v>10048</v>
      </c>
      <c r="C195" t="s">
        <v>825</v>
      </c>
      <c r="D195" t="s">
        <v>20</v>
      </c>
      <c r="E195" t="s">
        <v>24</v>
      </c>
      <c r="F195" t="s">
        <v>12</v>
      </c>
      <c r="G195" t="s">
        <v>25</v>
      </c>
      <c r="H195">
        <v>77174.05</v>
      </c>
      <c r="I195">
        <v>0</v>
      </c>
      <c r="J195" t="str">
        <f t="shared" si="15"/>
        <v>High</v>
      </c>
      <c r="K195" t="str">
        <f t="shared" si="16"/>
        <v>Normal</v>
      </c>
      <c r="L195">
        <f t="shared" si="17"/>
        <v>1</v>
      </c>
      <c r="M195">
        <f t="shared" si="18"/>
        <v>1</v>
      </c>
      <c r="N195" s="6">
        <f t="shared" si="19"/>
        <v>45691</v>
      </c>
    </row>
    <row r="196" spans="1:14" x14ac:dyDescent="0.3">
      <c r="A196">
        <v>803</v>
      </c>
      <c r="B196">
        <v>10076</v>
      </c>
      <c r="C196" t="s">
        <v>826</v>
      </c>
      <c r="D196" t="s">
        <v>10</v>
      </c>
      <c r="E196" t="s">
        <v>24</v>
      </c>
      <c r="F196" t="s">
        <v>12</v>
      </c>
      <c r="G196" t="s">
        <v>21</v>
      </c>
      <c r="H196">
        <v>65224.9</v>
      </c>
      <c r="I196">
        <v>0</v>
      </c>
      <c r="J196" t="str">
        <f t="shared" si="15"/>
        <v>High</v>
      </c>
      <c r="K196" t="str">
        <f t="shared" si="16"/>
        <v>Normal</v>
      </c>
      <c r="L196">
        <f t="shared" si="17"/>
        <v>1</v>
      </c>
      <c r="M196">
        <f t="shared" si="18"/>
        <v>1</v>
      </c>
      <c r="N196" s="6">
        <f t="shared" si="19"/>
        <v>45691</v>
      </c>
    </row>
    <row r="197" spans="1:14" x14ac:dyDescent="0.3">
      <c r="A197">
        <v>804</v>
      </c>
      <c r="B197">
        <v>10032</v>
      </c>
      <c r="C197" t="s">
        <v>827</v>
      </c>
      <c r="D197" t="s">
        <v>10</v>
      </c>
      <c r="E197" t="s">
        <v>24</v>
      </c>
      <c r="F197" t="s">
        <v>17</v>
      </c>
      <c r="G197" t="s">
        <v>18</v>
      </c>
      <c r="H197">
        <v>83258.48</v>
      </c>
      <c r="I197">
        <v>0</v>
      </c>
      <c r="J197" t="str">
        <f t="shared" si="15"/>
        <v>High</v>
      </c>
      <c r="K197" t="str">
        <f t="shared" si="16"/>
        <v>Normal</v>
      </c>
      <c r="L197">
        <f t="shared" si="17"/>
        <v>1</v>
      </c>
      <c r="M197">
        <f t="shared" si="18"/>
        <v>1</v>
      </c>
      <c r="N197" s="6">
        <f t="shared" si="19"/>
        <v>45691</v>
      </c>
    </row>
    <row r="198" spans="1:14" x14ac:dyDescent="0.3">
      <c r="A198">
        <v>805</v>
      </c>
      <c r="B198">
        <v>10097</v>
      </c>
      <c r="C198" t="s">
        <v>828</v>
      </c>
      <c r="D198" t="s">
        <v>10</v>
      </c>
      <c r="E198" t="s">
        <v>16</v>
      </c>
      <c r="F198" t="s">
        <v>12</v>
      </c>
      <c r="G198" t="s">
        <v>25</v>
      </c>
      <c r="H198">
        <v>97549.759999999995</v>
      </c>
      <c r="I198">
        <v>0</v>
      </c>
      <c r="J198" t="str">
        <f t="shared" si="15"/>
        <v>High</v>
      </c>
      <c r="K198" t="str">
        <f t="shared" si="16"/>
        <v>Normal</v>
      </c>
      <c r="L198">
        <f t="shared" si="17"/>
        <v>1</v>
      </c>
      <c r="M198">
        <f t="shared" si="18"/>
        <v>1</v>
      </c>
      <c r="N198" s="6">
        <f t="shared" si="19"/>
        <v>45691</v>
      </c>
    </row>
    <row r="199" spans="1:14" x14ac:dyDescent="0.3">
      <c r="A199">
        <v>806</v>
      </c>
      <c r="B199">
        <v>10098</v>
      </c>
      <c r="C199" t="s">
        <v>829</v>
      </c>
      <c r="D199" t="s">
        <v>10</v>
      </c>
      <c r="E199" t="s">
        <v>16</v>
      </c>
      <c r="F199" t="s">
        <v>17</v>
      </c>
      <c r="G199" t="s">
        <v>25</v>
      </c>
      <c r="H199">
        <v>47469.01</v>
      </c>
      <c r="I199">
        <v>0</v>
      </c>
      <c r="J199" t="str">
        <f t="shared" si="15"/>
        <v>High</v>
      </c>
      <c r="K199" t="str">
        <f t="shared" si="16"/>
        <v>Normal</v>
      </c>
      <c r="L199">
        <f t="shared" si="17"/>
        <v>1</v>
      </c>
      <c r="M199">
        <f t="shared" si="18"/>
        <v>1</v>
      </c>
      <c r="N199" s="6">
        <f t="shared" si="19"/>
        <v>45691</v>
      </c>
    </row>
    <row r="200" spans="1:14" x14ac:dyDescent="0.3">
      <c r="A200">
        <v>807</v>
      </c>
      <c r="B200">
        <v>10000</v>
      </c>
      <c r="C200" t="s">
        <v>830</v>
      </c>
      <c r="D200" t="s">
        <v>10</v>
      </c>
      <c r="E200" t="s">
        <v>24</v>
      </c>
      <c r="F200" t="s">
        <v>17</v>
      </c>
      <c r="G200" t="s">
        <v>13</v>
      </c>
      <c r="H200">
        <v>6762.72</v>
      </c>
      <c r="I200">
        <v>0</v>
      </c>
      <c r="J200" t="str">
        <f t="shared" si="15"/>
        <v>High</v>
      </c>
      <c r="K200" t="str">
        <f t="shared" si="16"/>
        <v>Normal</v>
      </c>
      <c r="L200">
        <f t="shared" si="17"/>
        <v>1</v>
      </c>
      <c r="M200">
        <f t="shared" si="18"/>
        <v>1</v>
      </c>
      <c r="N200" s="6">
        <f t="shared" si="19"/>
        <v>45691</v>
      </c>
    </row>
    <row r="201" spans="1:14" x14ac:dyDescent="0.3">
      <c r="A201">
        <v>808</v>
      </c>
      <c r="B201">
        <v>10020</v>
      </c>
      <c r="C201" t="s">
        <v>831</v>
      </c>
      <c r="D201" t="s">
        <v>10</v>
      </c>
      <c r="E201" t="s">
        <v>16</v>
      </c>
      <c r="F201" t="s">
        <v>17</v>
      </c>
      <c r="G201" t="s">
        <v>18</v>
      </c>
      <c r="H201">
        <v>4904.42</v>
      </c>
      <c r="I201">
        <v>0</v>
      </c>
      <c r="J201" t="str">
        <f t="shared" si="15"/>
        <v>High</v>
      </c>
      <c r="K201" t="str">
        <f t="shared" si="16"/>
        <v>Normal</v>
      </c>
      <c r="L201">
        <f t="shared" si="17"/>
        <v>1</v>
      </c>
      <c r="M201">
        <f t="shared" si="18"/>
        <v>1</v>
      </c>
      <c r="N201" s="6">
        <f t="shared" si="19"/>
        <v>45691</v>
      </c>
    </row>
    <row r="202" spans="1:14" x14ac:dyDescent="0.3">
      <c r="A202">
        <v>809</v>
      </c>
      <c r="B202">
        <v>10054</v>
      </c>
      <c r="C202" t="s">
        <v>832</v>
      </c>
      <c r="D202" t="s">
        <v>10</v>
      </c>
      <c r="E202" t="s">
        <v>11</v>
      </c>
      <c r="F202" t="s">
        <v>12</v>
      </c>
      <c r="G202" t="s">
        <v>21</v>
      </c>
      <c r="H202">
        <v>29636.94</v>
      </c>
      <c r="I202">
        <v>0</v>
      </c>
      <c r="J202" t="str">
        <f t="shared" si="15"/>
        <v>High</v>
      </c>
      <c r="K202" t="str">
        <f t="shared" si="16"/>
        <v>Normal</v>
      </c>
      <c r="L202">
        <f t="shared" si="17"/>
        <v>1</v>
      </c>
      <c r="M202">
        <f t="shared" si="18"/>
        <v>1</v>
      </c>
      <c r="N202" s="6">
        <f t="shared" si="19"/>
        <v>45691</v>
      </c>
    </row>
    <row r="203" spans="1:14" x14ac:dyDescent="0.3">
      <c r="A203">
        <v>810</v>
      </c>
      <c r="B203">
        <v>10005</v>
      </c>
      <c r="C203" t="s">
        <v>833</v>
      </c>
      <c r="D203" t="s">
        <v>20</v>
      </c>
      <c r="E203" t="s">
        <v>11</v>
      </c>
      <c r="F203" t="s">
        <v>12</v>
      </c>
      <c r="G203" t="s">
        <v>25</v>
      </c>
      <c r="H203">
        <v>93261.2</v>
      </c>
      <c r="I203">
        <v>1</v>
      </c>
      <c r="J203" t="str">
        <f t="shared" si="15"/>
        <v>High</v>
      </c>
      <c r="K203" t="str">
        <f t="shared" si="16"/>
        <v>High Risk</v>
      </c>
      <c r="L203">
        <f t="shared" si="17"/>
        <v>1</v>
      </c>
      <c r="M203">
        <f t="shared" si="18"/>
        <v>1</v>
      </c>
      <c r="N203" s="6">
        <f t="shared" si="19"/>
        <v>45691</v>
      </c>
    </row>
    <row r="204" spans="1:14" x14ac:dyDescent="0.3">
      <c r="A204">
        <v>811</v>
      </c>
      <c r="B204">
        <v>10091</v>
      </c>
      <c r="C204" t="s">
        <v>834</v>
      </c>
      <c r="D204" t="s">
        <v>15</v>
      </c>
      <c r="E204" t="s">
        <v>24</v>
      </c>
      <c r="F204" t="s">
        <v>12</v>
      </c>
      <c r="G204" t="s">
        <v>18</v>
      </c>
      <c r="H204">
        <v>52368.98</v>
      </c>
      <c r="I204">
        <v>0</v>
      </c>
      <c r="J204" t="str">
        <f t="shared" si="15"/>
        <v>High</v>
      </c>
      <c r="K204" t="str">
        <f t="shared" si="16"/>
        <v>Normal</v>
      </c>
      <c r="L204">
        <f t="shared" si="17"/>
        <v>1</v>
      </c>
      <c r="M204">
        <f t="shared" si="18"/>
        <v>1</v>
      </c>
      <c r="N204" s="6">
        <f t="shared" si="19"/>
        <v>45691</v>
      </c>
    </row>
    <row r="205" spans="1:14" x14ac:dyDescent="0.3">
      <c r="A205">
        <v>812</v>
      </c>
      <c r="B205">
        <v>10080</v>
      </c>
      <c r="C205" t="s">
        <v>835</v>
      </c>
      <c r="D205" t="s">
        <v>23</v>
      </c>
      <c r="E205" t="s">
        <v>11</v>
      </c>
      <c r="F205" t="s">
        <v>17</v>
      </c>
      <c r="G205" t="s">
        <v>18</v>
      </c>
      <c r="H205">
        <v>27251.47</v>
      </c>
      <c r="I205">
        <v>0</v>
      </c>
      <c r="J205" t="str">
        <f t="shared" si="15"/>
        <v>High</v>
      </c>
      <c r="K205" t="str">
        <f t="shared" si="16"/>
        <v>Normal</v>
      </c>
      <c r="L205">
        <f t="shared" si="17"/>
        <v>1</v>
      </c>
      <c r="M205">
        <f t="shared" si="18"/>
        <v>1</v>
      </c>
      <c r="N205" s="6">
        <f t="shared" si="19"/>
        <v>45691</v>
      </c>
    </row>
    <row r="206" spans="1:14" x14ac:dyDescent="0.3">
      <c r="A206">
        <v>813</v>
      </c>
      <c r="B206">
        <v>10068</v>
      </c>
      <c r="C206" t="s">
        <v>836</v>
      </c>
      <c r="D206" t="s">
        <v>29</v>
      </c>
      <c r="E206" t="s">
        <v>24</v>
      </c>
      <c r="F206" t="s">
        <v>12</v>
      </c>
      <c r="G206" t="s">
        <v>21</v>
      </c>
      <c r="H206">
        <v>39976.76</v>
      </c>
      <c r="I206">
        <v>0</v>
      </c>
      <c r="J206" t="str">
        <f t="shared" si="15"/>
        <v>High</v>
      </c>
      <c r="K206" t="str">
        <f t="shared" si="16"/>
        <v>Normal</v>
      </c>
      <c r="L206">
        <f t="shared" si="17"/>
        <v>1</v>
      </c>
      <c r="M206">
        <f t="shared" si="18"/>
        <v>1</v>
      </c>
      <c r="N206" s="6">
        <f t="shared" si="19"/>
        <v>45691</v>
      </c>
    </row>
    <row r="207" spans="1:14" x14ac:dyDescent="0.3">
      <c r="A207">
        <v>814</v>
      </c>
      <c r="B207">
        <v>10094</v>
      </c>
      <c r="C207" t="s">
        <v>837</v>
      </c>
      <c r="D207" t="s">
        <v>23</v>
      </c>
      <c r="E207" t="s">
        <v>24</v>
      </c>
      <c r="F207" t="s">
        <v>17</v>
      </c>
      <c r="G207" t="s">
        <v>18</v>
      </c>
      <c r="H207">
        <v>59899.65</v>
      </c>
      <c r="I207">
        <v>0</v>
      </c>
      <c r="J207" t="str">
        <f t="shared" si="15"/>
        <v>High</v>
      </c>
      <c r="K207" t="str">
        <f t="shared" si="16"/>
        <v>Normal</v>
      </c>
      <c r="L207">
        <f t="shared" si="17"/>
        <v>1</v>
      </c>
      <c r="M207">
        <f t="shared" si="18"/>
        <v>1</v>
      </c>
      <c r="N207" s="6">
        <f t="shared" si="19"/>
        <v>45691</v>
      </c>
    </row>
    <row r="208" spans="1:14" x14ac:dyDescent="0.3">
      <c r="A208">
        <v>815</v>
      </c>
      <c r="B208">
        <v>10004</v>
      </c>
      <c r="C208" t="s">
        <v>838</v>
      </c>
      <c r="D208" t="s">
        <v>23</v>
      </c>
      <c r="E208" t="s">
        <v>11</v>
      </c>
      <c r="F208" t="s">
        <v>12</v>
      </c>
      <c r="G208" t="s">
        <v>18</v>
      </c>
      <c r="H208">
        <v>65329.67</v>
      </c>
      <c r="I208">
        <v>1</v>
      </c>
      <c r="J208" t="str">
        <f t="shared" si="15"/>
        <v>High</v>
      </c>
      <c r="K208" t="str">
        <f t="shared" si="16"/>
        <v>High Risk</v>
      </c>
      <c r="L208">
        <f t="shared" si="17"/>
        <v>1</v>
      </c>
      <c r="M208">
        <f t="shared" si="18"/>
        <v>1</v>
      </c>
      <c r="N208" s="6">
        <f t="shared" si="19"/>
        <v>45691</v>
      </c>
    </row>
    <row r="209" spans="1:14" x14ac:dyDescent="0.3">
      <c r="A209">
        <v>816</v>
      </c>
      <c r="B209">
        <v>10002</v>
      </c>
      <c r="C209" t="s">
        <v>839</v>
      </c>
      <c r="D209" t="s">
        <v>15</v>
      </c>
      <c r="E209" t="s">
        <v>16</v>
      </c>
      <c r="F209" t="s">
        <v>17</v>
      </c>
      <c r="G209" t="s">
        <v>18</v>
      </c>
      <c r="H209">
        <v>15476.56</v>
      </c>
      <c r="I209">
        <v>0</v>
      </c>
      <c r="J209" t="str">
        <f t="shared" si="15"/>
        <v>High</v>
      </c>
      <c r="K209" t="str">
        <f t="shared" si="16"/>
        <v>Normal</v>
      </c>
      <c r="L209">
        <f t="shared" si="17"/>
        <v>1</v>
      </c>
      <c r="M209">
        <f t="shared" si="18"/>
        <v>1</v>
      </c>
      <c r="N209" s="6">
        <f t="shared" si="19"/>
        <v>45691</v>
      </c>
    </row>
    <row r="210" spans="1:14" x14ac:dyDescent="0.3">
      <c r="A210">
        <v>769</v>
      </c>
      <c r="B210">
        <v>10016</v>
      </c>
      <c r="C210" t="s">
        <v>792</v>
      </c>
      <c r="D210" t="s">
        <v>10</v>
      </c>
      <c r="E210" t="s">
        <v>24</v>
      </c>
      <c r="F210" t="s">
        <v>12</v>
      </c>
      <c r="G210" t="s">
        <v>31</v>
      </c>
      <c r="H210">
        <v>6674.59</v>
      </c>
      <c r="I210">
        <v>0</v>
      </c>
      <c r="J210" t="str">
        <f t="shared" si="15"/>
        <v>High</v>
      </c>
      <c r="K210" t="str">
        <f t="shared" si="16"/>
        <v>Normal</v>
      </c>
      <c r="L210">
        <f t="shared" si="17"/>
        <v>1</v>
      </c>
      <c r="M210">
        <f t="shared" si="18"/>
        <v>1</v>
      </c>
      <c r="N210" s="6">
        <f t="shared" si="19"/>
        <v>45690</v>
      </c>
    </row>
    <row r="211" spans="1:14" x14ac:dyDescent="0.3">
      <c r="A211">
        <v>770</v>
      </c>
      <c r="B211">
        <v>10072</v>
      </c>
      <c r="C211" t="s">
        <v>793</v>
      </c>
      <c r="D211" t="s">
        <v>23</v>
      </c>
      <c r="E211" t="s">
        <v>11</v>
      </c>
      <c r="F211" t="s">
        <v>17</v>
      </c>
      <c r="G211" t="s">
        <v>18</v>
      </c>
      <c r="H211">
        <v>89142.69</v>
      </c>
      <c r="I211">
        <v>1</v>
      </c>
      <c r="J211" t="str">
        <f t="shared" si="15"/>
        <v>High</v>
      </c>
      <c r="K211" t="str">
        <f t="shared" si="16"/>
        <v>High Risk</v>
      </c>
      <c r="L211">
        <f t="shared" si="17"/>
        <v>1</v>
      </c>
      <c r="M211">
        <f t="shared" si="18"/>
        <v>1</v>
      </c>
      <c r="N211" s="6">
        <f t="shared" si="19"/>
        <v>45690</v>
      </c>
    </row>
    <row r="212" spans="1:14" x14ac:dyDescent="0.3">
      <c r="A212">
        <v>771</v>
      </c>
      <c r="B212">
        <v>10032</v>
      </c>
      <c r="C212" t="s">
        <v>794</v>
      </c>
      <c r="D212" t="s">
        <v>29</v>
      </c>
      <c r="E212" t="s">
        <v>11</v>
      </c>
      <c r="F212" t="s">
        <v>17</v>
      </c>
      <c r="G212" t="s">
        <v>21</v>
      </c>
      <c r="H212">
        <v>46435.040000000001</v>
      </c>
      <c r="I212">
        <v>0</v>
      </c>
      <c r="J212" t="str">
        <f t="shared" si="15"/>
        <v>High</v>
      </c>
      <c r="K212" t="str">
        <f t="shared" si="16"/>
        <v>Normal</v>
      </c>
      <c r="L212">
        <f t="shared" si="17"/>
        <v>1</v>
      </c>
      <c r="M212">
        <f t="shared" si="18"/>
        <v>1</v>
      </c>
      <c r="N212" s="6">
        <f t="shared" si="19"/>
        <v>45690</v>
      </c>
    </row>
    <row r="213" spans="1:14" x14ac:dyDescent="0.3">
      <c r="A213">
        <v>772</v>
      </c>
      <c r="B213">
        <v>10083</v>
      </c>
      <c r="C213" t="s">
        <v>795</v>
      </c>
      <c r="D213" t="s">
        <v>15</v>
      </c>
      <c r="E213" t="s">
        <v>11</v>
      </c>
      <c r="F213" t="s">
        <v>12</v>
      </c>
      <c r="G213" t="s">
        <v>18</v>
      </c>
      <c r="H213">
        <v>32070.73</v>
      </c>
      <c r="I213">
        <v>0</v>
      </c>
      <c r="J213" t="str">
        <f t="shared" si="15"/>
        <v>High</v>
      </c>
      <c r="K213" t="str">
        <f t="shared" si="16"/>
        <v>Normal</v>
      </c>
      <c r="L213">
        <f t="shared" si="17"/>
        <v>1</v>
      </c>
      <c r="M213">
        <f t="shared" si="18"/>
        <v>1</v>
      </c>
      <c r="N213" s="6">
        <f t="shared" si="19"/>
        <v>45690</v>
      </c>
    </row>
    <row r="214" spans="1:14" x14ac:dyDescent="0.3">
      <c r="A214">
        <v>773</v>
      </c>
      <c r="B214">
        <v>10076</v>
      </c>
      <c r="C214" t="s">
        <v>796</v>
      </c>
      <c r="D214" t="s">
        <v>29</v>
      </c>
      <c r="E214" t="s">
        <v>24</v>
      </c>
      <c r="F214" t="s">
        <v>17</v>
      </c>
      <c r="G214" t="s">
        <v>25</v>
      </c>
      <c r="H214">
        <v>47698.48</v>
      </c>
      <c r="I214">
        <v>0</v>
      </c>
      <c r="J214" t="str">
        <f t="shared" si="15"/>
        <v>High</v>
      </c>
      <c r="K214" t="str">
        <f t="shared" si="16"/>
        <v>Normal</v>
      </c>
      <c r="L214">
        <f t="shared" si="17"/>
        <v>1</v>
      </c>
      <c r="M214">
        <f t="shared" si="18"/>
        <v>1</v>
      </c>
      <c r="N214" s="6">
        <f t="shared" si="19"/>
        <v>45690</v>
      </c>
    </row>
    <row r="215" spans="1:14" x14ac:dyDescent="0.3">
      <c r="A215">
        <v>774</v>
      </c>
      <c r="B215">
        <v>10091</v>
      </c>
      <c r="C215" t="s">
        <v>797</v>
      </c>
      <c r="D215" t="s">
        <v>10</v>
      </c>
      <c r="E215" t="s">
        <v>24</v>
      </c>
      <c r="F215" t="s">
        <v>17</v>
      </c>
      <c r="G215" t="s">
        <v>18</v>
      </c>
      <c r="H215">
        <v>31898.58</v>
      </c>
      <c r="I215">
        <v>0</v>
      </c>
      <c r="J215" t="str">
        <f t="shared" si="15"/>
        <v>High</v>
      </c>
      <c r="K215" t="str">
        <f t="shared" si="16"/>
        <v>Normal</v>
      </c>
      <c r="L215">
        <f t="shared" si="17"/>
        <v>1</v>
      </c>
      <c r="M215">
        <f t="shared" si="18"/>
        <v>1</v>
      </c>
      <c r="N215" s="6">
        <f t="shared" si="19"/>
        <v>45690</v>
      </c>
    </row>
    <row r="216" spans="1:14" x14ac:dyDescent="0.3">
      <c r="A216">
        <v>775</v>
      </c>
      <c r="B216">
        <v>10028</v>
      </c>
      <c r="C216" t="s">
        <v>798</v>
      </c>
      <c r="D216" t="s">
        <v>10</v>
      </c>
      <c r="E216" t="s">
        <v>16</v>
      </c>
      <c r="F216" t="s">
        <v>17</v>
      </c>
      <c r="G216" t="s">
        <v>31</v>
      </c>
      <c r="H216">
        <v>48954.67</v>
      </c>
      <c r="I216">
        <v>0</v>
      </c>
      <c r="J216" t="str">
        <f t="shared" si="15"/>
        <v>High</v>
      </c>
      <c r="K216" t="str">
        <f t="shared" si="16"/>
        <v>Normal</v>
      </c>
      <c r="L216">
        <f t="shared" si="17"/>
        <v>1</v>
      </c>
      <c r="M216">
        <f t="shared" si="18"/>
        <v>1</v>
      </c>
      <c r="N216" s="6">
        <f t="shared" si="19"/>
        <v>45690</v>
      </c>
    </row>
    <row r="217" spans="1:14" x14ac:dyDescent="0.3">
      <c r="A217">
        <v>776</v>
      </c>
      <c r="B217">
        <v>10012</v>
      </c>
      <c r="C217" t="s">
        <v>799</v>
      </c>
      <c r="D217" t="s">
        <v>23</v>
      </c>
      <c r="E217" t="s">
        <v>11</v>
      </c>
      <c r="F217" t="s">
        <v>17</v>
      </c>
      <c r="G217" t="s">
        <v>25</v>
      </c>
      <c r="H217">
        <v>85969.68</v>
      </c>
      <c r="I217">
        <v>1</v>
      </c>
      <c r="J217" t="str">
        <f t="shared" si="15"/>
        <v>High</v>
      </c>
      <c r="K217" t="str">
        <f t="shared" si="16"/>
        <v>High Risk</v>
      </c>
      <c r="L217">
        <f t="shared" si="17"/>
        <v>1</v>
      </c>
      <c r="M217">
        <f t="shared" si="18"/>
        <v>1</v>
      </c>
      <c r="N217" s="6">
        <f t="shared" si="19"/>
        <v>45690</v>
      </c>
    </row>
    <row r="218" spans="1:14" x14ac:dyDescent="0.3">
      <c r="A218">
        <v>777</v>
      </c>
      <c r="B218">
        <v>10045</v>
      </c>
      <c r="C218" t="s">
        <v>800</v>
      </c>
      <c r="D218" t="s">
        <v>29</v>
      </c>
      <c r="E218" t="s">
        <v>16</v>
      </c>
      <c r="F218" t="s">
        <v>17</v>
      </c>
      <c r="G218" t="s">
        <v>21</v>
      </c>
      <c r="H218">
        <v>59270.91</v>
      </c>
      <c r="I218">
        <v>0</v>
      </c>
      <c r="J218" t="str">
        <f t="shared" si="15"/>
        <v>High</v>
      </c>
      <c r="K218" t="str">
        <f t="shared" si="16"/>
        <v>Normal</v>
      </c>
      <c r="L218">
        <f t="shared" si="17"/>
        <v>1</v>
      </c>
      <c r="M218">
        <f t="shared" si="18"/>
        <v>1</v>
      </c>
      <c r="N218" s="6">
        <f t="shared" si="19"/>
        <v>45690</v>
      </c>
    </row>
    <row r="219" spans="1:14" x14ac:dyDescent="0.3">
      <c r="A219">
        <v>778</v>
      </c>
      <c r="B219">
        <v>10034</v>
      </c>
      <c r="C219" t="s">
        <v>801</v>
      </c>
      <c r="D219" t="s">
        <v>15</v>
      </c>
      <c r="E219" t="s">
        <v>11</v>
      </c>
      <c r="F219" t="s">
        <v>12</v>
      </c>
      <c r="G219" t="s">
        <v>21</v>
      </c>
      <c r="H219">
        <v>69495.91</v>
      </c>
      <c r="I219">
        <v>1</v>
      </c>
      <c r="J219" t="str">
        <f t="shared" si="15"/>
        <v>High</v>
      </c>
      <c r="K219" t="str">
        <f t="shared" si="16"/>
        <v>High Risk</v>
      </c>
      <c r="L219">
        <f t="shared" si="17"/>
        <v>1</v>
      </c>
      <c r="M219">
        <f t="shared" si="18"/>
        <v>1</v>
      </c>
      <c r="N219" s="6">
        <f t="shared" si="19"/>
        <v>45690</v>
      </c>
    </row>
    <row r="220" spans="1:14" x14ac:dyDescent="0.3">
      <c r="A220">
        <v>779</v>
      </c>
      <c r="B220">
        <v>10005</v>
      </c>
      <c r="C220" t="s">
        <v>802</v>
      </c>
      <c r="D220" t="s">
        <v>15</v>
      </c>
      <c r="E220" t="s">
        <v>24</v>
      </c>
      <c r="F220" t="s">
        <v>17</v>
      </c>
      <c r="G220" t="s">
        <v>13</v>
      </c>
      <c r="H220">
        <v>36530.6</v>
      </c>
      <c r="I220">
        <v>0</v>
      </c>
      <c r="J220" t="str">
        <f t="shared" si="15"/>
        <v>High</v>
      </c>
      <c r="K220" t="str">
        <f t="shared" si="16"/>
        <v>Normal</v>
      </c>
      <c r="L220">
        <f t="shared" si="17"/>
        <v>1</v>
      </c>
      <c r="M220">
        <f t="shared" si="18"/>
        <v>1</v>
      </c>
      <c r="N220" s="6">
        <f t="shared" si="19"/>
        <v>45690</v>
      </c>
    </row>
    <row r="221" spans="1:14" x14ac:dyDescent="0.3">
      <c r="A221">
        <v>780</v>
      </c>
      <c r="B221">
        <v>10081</v>
      </c>
      <c r="C221" t="s">
        <v>803</v>
      </c>
      <c r="D221" t="s">
        <v>20</v>
      </c>
      <c r="E221" t="s">
        <v>24</v>
      </c>
      <c r="F221" t="s">
        <v>17</v>
      </c>
      <c r="G221" t="s">
        <v>25</v>
      </c>
      <c r="H221">
        <v>73876.740000000005</v>
      </c>
      <c r="I221">
        <v>0</v>
      </c>
      <c r="J221" t="str">
        <f t="shared" si="15"/>
        <v>High</v>
      </c>
      <c r="K221" t="str">
        <f t="shared" si="16"/>
        <v>Normal</v>
      </c>
      <c r="L221">
        <f t="shared" si="17"/>
        <v>1</v>
      </c>
      <c r="M221">
        <f t="shared" si="18"/>
        <v>1</v>
      </c>
      <c r="N221" s="6">
        <f t="shared" si="19"/>
        <v>45690</v>
      </c>
    </row>
    <row r="222" spans="1:14" x14ac:dyDescent="0.3">
      <c r="A222">
        <v>781</v>
      </c>
      <c r="B222">
        <v>10068</v>
      </c>
      <c r="C222" t="s">
        <v>804</v>
      </c>
      <c r="D222" t="s">
        <v>15</v>
      </c>
      <c r="E222" t="s">
        <v>24</v>
      </c>
      <c r="F222" t="s">
        <v>17</v>
      </c>
      <c r="G222" t="s">
        <v>13</v>
      </c>
      <c r="H222">
        <v>66695.05</v>
      </c>
      <c r="I222">
        <v>0</v>
      </c>
      <c r="J222" t="str">
        <f t="shared" si="15"/>
        <v>High</v>
      </c>
      <c r="K222" t="str">
        <f t="shared" si="16"/>
        <v>Normal</v>
      </c>
      <c r="L222">
        <f t="shared" si="17"/>
        <v>1</v>
      </c>
      <c r="M222">
        <f t="shared" si="18"/>
        <v>1</v>
      </c>
      <c r="N222" s="6">
        <f t="shared" si="19"/>
        <v>45690</v>
      </c>
    </row>
    <row r="223" spans="1:14" x14ac:dyDescent="0.3">
      <c r="A223">
        <v>782</v>
      </c>
      <c r="B223">
        <v>10046</v>
      </c>
      <c r="C223" t="s">
        <v>805</v>
      </c>
      <c r="D223" t="s">
        <v>23</v>
      </c>
      <c r="E223" t="s">
        <v>11</v>
      </c>
      <c r="F223" t="s">
        <v>12</v>
      </c>
      <c r="G223" t="s">
        <v>25</v>
      </c>
      <c r="H223">
        <v>12044.24</v>
      </c>
      <c r="I223">
        <v>0</v>
      </c>
      <c r="J223" t="str">
        <f t="shared" si="15"/>
        <v>High</v>
      </c>
      <c r="K223" t="str">
        <f t="shared" si="16"/>
        <v>Normal</v>
      </c>
      <c r="L223">
        <f t="shared" si="17"/>
        <v>1</v>
      </c>
      <c r="M223">
        <f t="shared" si="18"/>
        <v>1</v>
      </c>
      <c r="N223" s="6">
        <f t="shared" si="19"/>
        <v>45690</v>
      </c>
    </row>
    <row r="224" spans="1:14" x14ac:dyDescent="0.3">
      <c r="A224">
        <v>783</v>
      </c>
      <c r="B224">
        <v>10024</v>
      </c>
      <c r="C224" t="s">
        <v>806</v>
      </c>
      <c r="D224" t="s">
        <v>23</v>
      </c>
      <c r="E224" t="s">
        <v>24</v>
      </c>
      <c r="F224" t="s">
        <v>12</v>
      </c>
      <c r="G224" t="s">
        <v>25</v>
      </c>
      <c r="H224">
        <v>57307.02</v>
      </c>
      <c r="I224">
        <v>0</v>
      </c>
      <c r="J224" t="str">
        <f t="shared" si="15"/>
        <v>High</v>
      </c>
      <c r="K224" t="str">
        <f t="shared" si="16"/>
        <v>Normal</v>
      </c>
      <c r="L224">
        <f t="shared" si="17"/>
        <v>1</v>
      </c>
      <c r="M224">
        <f t="shared" si="18"/>
        <v>1</v>
      </c>
      <c r="N224" s="6">
        <f t="shared" si="19"/>
        <v>45690</v>
      </c>
    </row>
    <row r="225" spans="1:14" x14ac:dyDescent="0.3">
      <c r="A225">
        <v>784</v>
      </c>
      <c r="B225">
        <v>10065</v>
      </c>
      <c r="C225" t="s">
        <v>807</v>
      </c>
      <c r="D225" t="s">
        <v>15</v>
      </c>
      <c r="E225" t="s">
        <v>11</v>
      </c>
      <c r="F225" t="s">
        <v>12</v>
      </c>
      <c r="G225" t="s">
        <v>31</v>
      </c>
      <c r="H225">
        <v>25748.68</v>
      </c>
      <c r="I225">
        <v>0</v>
      </c>
      <c r="J225" t="str">
        <f t="shared" si="15"/>
        <v>High</v>
      </c>
      <c r="K225" t="str">
        <f t="shared" si="16"/>
        <v>Normal</v>
      </c>
      <c r="L225">
        <f t="shared" si="17"/>
        <v>1</v>
      </c>
      <c r="M225">
        <f t="shared" si="18"/>
        <v>1</v>
      </c>
      <c r="N225" s="6">
        <f t="shared" si="19"/>
        <v>45690</v>
      </c>
    </row>
    <row r="226" spans="1:14" x14ac:dyDescent="0.3">
      <c r="A226">
        <v>785</v>
      </c>
      <c r="B226">
        <v>10009</v>
      </c>
      <c r="C226" t="s">
        <v>808</v>
      </c>
      <c r="D226" t="s">
        <v>15</v>
      </c>
      <c r="E226" t="s">
        <v>16</v>
      </c>
      <c r="F226" t="s">
        <v>12</v>
      </c>
      <c r="G226" t="s">
        <v>13</v>
      </c>
      <c r="H226">
        <v>80429.16</v>
      </c>
      <c r="I226">
        <v>0</v>
      </c>
      <c r="J226" t="str">
        <f t="shared" si="15"/>
        <v>High</v>
      </c>
      <c r="K226" t="str">
        <f t="shared" si="16"/>
        <v>Normal</v>
      </c>
      <c r="L226">
        <f t="shared" si="17"/>
        <v>1</v>
      </c>
      <c r="M226">
        <f t="shared" si="18"/>
        <v>1</v>
      </c>
      <c r="N226" s="6">
        <f t="shared" si="19"/>
        <v>45690</v>
      </c>
    </row>
    <row r="227" spans="1:14" x14ac:dyDescent="0.3">
      <c r="A227">
        <v>786</v>
      </c>
      <c r="B227">
        <v>10055</v>
      </c>
      <c r="C227" t="s">
        <v>809</v>
      </c>
      <c r="D227" t="s">
        <v>20</v>
      </c>
      <c r="E227" t="s">
        <v>11</v>
      </c>
      <c r="F227" t="s">
        <v>17</v>
      </c>
      <c r="G227" t="s">
        <v>31</v>
      </c>
      <c r="H227">
        <v>42651.18</v>
      </c>
      <c r="I227">
        <v>0</v>
      </c>
      <c r="J227" t="str">
        <f t="shared" si="15"/>
        <v>High</v>
      </c>
      <c r="K227" t="str">
        <f t="shared" si="16"/>
        <v>Normal</v>
      </c>
      <c r="L227">
        <f t="shared" si="17"/>
        <v>1</v>
      </c>
      <c r="M227">
        <f t="shared" si="18"/>
        <v>1</v>
      </c>
      <c r="N227" s="6">
        <f t="shared" si="19"/>
        <v>45690</v>
      </c>
    </row>
    <row r="228" spans="1:14" x14ac:dyDescent="0.3">
      <c r="A228">
        <v>787</v>
      </c>
      <c r="B228">
        <v>10029</v>
      </c>
      <c r="C228" t="s">
        <v>810</v>
      </c>
      <c r="D228" t="s">
        <v>15</v>
      </c>
      <c r="E228" t="s">
        <v>16</v>
      </c>
      <c r="F228" t="s">
        <v>12</v>
      </c>
      <c r="G228" t="s">
        <v>25</v>
      </c>
      <c r="H228">
        <v>99468.95</v>
      </c>
      <c r="I228">
        <v>0</v>
      </c>
      <c r="J228" t="str">
        <f t="shared" si="15"/>
        <v>High</v>
      </c>
      <c r="K228" t="str">
        <f t="shared" si="16"/>
        <v>Normal</v>
      </c>
      <c r="L228">
        <f t="shared" si="17"/>
        <v>1</v>
      </c>
      <c r="M228">
        <f t="shared" si="18"/>
        <v>1</v>
      </c>
      <c r="N228" s="6">
        <f t="shared" si="19"/>
        <v>45690</v>
      </c>
    </row>
    <row r="229" spans="1:14" x14ac:dyDescent="0.3">
      <c r="A229">
        <v>788</v>
      </c>
      <c r="B229">
        <v>10004</v>
      </c>
      <c r="C229" t="s">
        <v>811</v>
      </c>
      <c r="D229" t="s">
        <v>20</v>
      </c>
      <c r="E229" t="s">
        <v>11</v>
      </c>
      <c r="F229" t="s">
        <v>17</v>
      </c>
      <c r="G229" t="s">
        <v>21</v>
      </c>
      <c r="H229">
        <v>9340.7900000000009</v>
      </c>
      <c r="I229">
        <v>0</v>
      </c>
      <c r="J229" t="str">
        <f t="shared" si="15"/>
        <v>High</v>
      </c>
      <c r="K229" t="str">
        <f t="shared" si="16"/>
        <v>Normal</v>
      </c>
      <c r="L229">
        <f t="shared" si="17"/>
        <v>1</v>
      </c>
      <c r="M229">
        <f t="shared" si="18"/>
        <v>1</v>
      </c>
      <c r="N229" s="6">
        <f t="shared" si="19"/>
        <v>45690</v>
      </c>
    </row>
    <row r="230" spans="1:14" x14ac:dyDescent="0.3">
      <c r="A230">
        <v>789</v>
      </c>
      <c r="B230">
        <v>10032</v>
      </c>
      <c r="C230" t="s">
        <v>812</v>
      </c>
      <c r="D230" t="s">
        <v>20</v>
      </c>
      <c r="E230" t="s">
        <v>16</v>
      </c>
      <c r="F230" t="s">
        <v>17</v>
      </c>
      <c r="G230" t="s">
        <v>25</v>
      </c>
      <c r="H230">
        <v>78056.75</v>
      </c>
      <c r="I230">
        <v>0</v>
      </c>
      <c r="J230" t="str">
        <f t="shared" si="15"/>
        <v>High</v>
      </c>
      <c r="K230" t="str">
        <f t="shared" si="16"/>
        <v>Normal</v>
      </c>
      <c r="L230">
        <f t="shared" si="17"/>
        <v>1</v>
      </c>
      <c r="M230">
        <f t="shared" si="18"/>
        <v>1</v>
      </c>
      <c r="N230" s="6">
        <f t="shared" si="19"/>
        <v>45690</v>
      </c>
    </row>
    <row r="231" spans="1:14" x14ac:dyDescent="0.3">
      <c r="A231">
        <v>790</v>
      </c>
      <c r="B231">
        <v>10064</v>
      </c>
      <c r="C231" t="s">
        <v>813</v>
      </c>
      <c r="D231" t="s">
        <v>15</v>
      </c>
      <c r="E231" t="s">
        <v>24</v>
      </c>
      <c r="F231" t="s">
        <v>12</v>
      </c>
      <c r="G231" t="s">
        <v>31</v>
      </c>
      <c r="H231">
        <v>67402.8</v>
      </c>
      <c r="I231">
        <v>0</v>
      </c>
      <c r="J231" t="str">
        <f t="shared" si="15"/>
        <v>High</v>
      </c>
      <c r="K231" t="str">
        <f t="shared" si="16"/>
        <v>Normal</v>
      </c>
      <c r="L231">
        <f t="shared" si="17"/>
        <v>1</v>
      </c>
      <c r="M231">
        <f t="shared" si="18"/>
        <v>1</v>
      </c>
      <c r="N231" s="6">
        <f t="shared" si="19"/>
        <v>45690</v>
      </c>
    </row>
    <row r="232" spans="1:14" x14ac:dyDescent="0.3">
      <c r="A232">
        <v>791</v>
      </c>
      <c r="B232">
        <v>10017</v>
      </c>
      <c r="C232" t="s">
        <v>814</v>
      </c>
      <c r="D232" t="s">
        <v>10</v>
      </c>
      <c r="E232" t="s">
        <v>16</v>
      </c>
      <c r="F232" t="s">
        <v>12</v>
      </c>
      <c r="G232" t="s">
        <v>13</v>
      </c>
      <c r="H232">
        <v>76773.13</v>
      </c>
      <c r="I232">
        <v>0</v>
      </c>
      <c r="J232" t="str">
        <f t="shared" si="15"/>
        <v>High</v>
      </c>
      <c r="K232" t="str">
        <f t="shared" si="16"/>
        <v>Normal</v>
      </c>
      <c r="L232">
        <f t="shared" si="17"/>
        <v>1</v>
      </c>
      <c r="M232">
        <f t="shared" si="18"/>
        <v>1</v>
      </c>
      <c r="N232" s="6">
        <f t="shared" si="19"/>
        <v>45690</v>
      </c>
    </row>
    <row r="233" spans="1:14" x14ac:dyDescent="0.3">
      <c r="A233">
        <v>792</v>
      </c>
      <c r="B233">
        <v>10095</v>
      </c>
      <c r="C233" t="s">
        <v>815</v>
      </c>
      <c r="D233" t="s">
        <v>10</v>
      </c>
      <c r="E233" t="s">
        <v>24</v>
      </c>
      <c r="F233" t="s">
        <v>12</v>
      </c>
      <c r="G233" t="s">
        <v>13</v>
      </c>
      <c r="H233">
        <v>30822.23</v>
      </c>
      <c r="I233">
        <v>0</v>
      </c>
      <c r="J233" t="str">
        <f t="shared" si="15"/>
        <v>High</v>
      </c>
      <c r="K233" t="str">
        <f t="shared" si="16"/>
        <v>Normal</v>
      </c>
      <c r="L233">
        <f t="shared" si="17"/>
        <v>1</v>
      </c>
      <c r="M233">
        <f t="shared" si="18"/>
        <v>1</v>
      </c>
      <c r="N233" s="6">
        <f t="shared" si="19"/>
        <v>45690</v>
      </c>
    </row>
    <row r="234" spans="1:14" x14ac:dyDescent="0.3">
      <c r="A234">
        <v>745</v>
      </c>
      <c r="B234">
        <v>10074</v>
      </c>
      <c r="C234" t="s">
        <v>768</v>
      </c>
      <c r="D234" t="s">
        <v>15</v>
      </c>
      <c r="E234" t="s">
        <v>16</v>
      </c>
      <c r="F234" t="s">
        <v>17</v>
      </c>
      <c r="G234" t="s">
        <v>31</v>
      </c>
      <c r="H234">
        <v>89130.89</v>
      </c>
      <c r="I234">
        <v>0</v>
      </c>
      <c r="J234" t="str">
        <f t="shared" si="15"/>
        <v>High</v>
      </c>
      <c r="K234" t="str">
        <f t="shared" si="16"/>
        <v>Normal</v>
      </c>
      <c r="L234">
        <f t="shared" si="17"/>
        <v>1</v>
      </c>
      <c r="M234">
        <f t="shared" si="18"/>
        <v>1</v>
      </c>
      <c r="N234" s="6">
        <f t="shared" si="19"/>
        <v>45689</v>
      </c>
    </row>
    <row r="235" spans="1:14" x14ac:dyDescent="0.3">
      <c r="A235">
        <v>746</v>
      </c>
      <c r="B235">
        <v>10011</v>
      </c>
      <c r="C235" t="s">
        <v>769</v>
      </c>
      <c r="D235" t="s">
        <v>29</v>
      </c>
      <c r="E235" t="s">
        <v>11</v>
      </c>
      <c r="F235" t="s">
        <v>12</v>
      </c>
      <c r="G235" t="s">
        <v>25</v>
      </c>
      <c r="H235">
        <v>1462.04</v>
      </c>
      <c r="I235">
        <v>0</v>
      </c>
      <c r="J235" t="str">
        <f t="shared" si="15"/>
        <v>High</v>
      </c>
      <c r="K235" t="str">
        <f t="shared" si="16"/>
        <v>Normal</v>
      </c>
      <c r="L235">
        <f t="shared" si="17"/>
        <v>1</v>
      </c>
      <c r="M235">
        <f t="shared" si="18"/>
        <v>1</v>
      </c>
      <c r="N235" s="6">
        <f t="shared" si="19"/>
        <v>45689</v>
      </c>
    </row>
    <row r="236" spans="1:14" x14ac:dyDescent="0.3">
      <c r="A236">
        <v>747</v>
      </c>
      <c r="B236">
        <v>10073</v>
      </c>
      <c r="C236" t="s">
        <v>770</v>
      </c>
      <c r="D236" t="s">
        <v>29</v>
      </c>
      <c r="E236" t="s">
        <v>24</v>
      </c>
      <c r="F236" t="s">
        <v>17</v>
      </c>
      <c r="G236" t="s">
        <v>21</v>
      </c>
      <c r="H236">
        <v>32340.38</v>
      </c>
      <c r="I236">
        <v>0</v>
      </c>
      <c r="J236" t="str">
        <f t="shared" si="15"/>
        <v>High</v>
      </c>
      <c r="K236" t="str">
        <f t="shared" si="16"/>
        <v>Normal</v>
      </c>
      <c r="L236">
        <f t="shared" si="17"/>
        <v>1</v>
      </c>
      <c r="M236">
        <f t="shared" si="18"/>
        <v>1</v>
      </c>
      <c r="N236" s="6">
        <f t="shared" si="19"/>
        <v>45689</v>
      </c>
    </row>
    <row r="237" spans="1:14" x14ac:dyDescent="0.3">
      <c r="A237">
        <v>748</v>
      </c>
      <c r="B237">
        <v>10095</v>
      </c>
      <c r="C237" t="s">
        <v>771</v>
      </c>
      <c r="D237" t="s">
        <v>23</v>
      </c>
      <c r="E237" t="s">
        <v>16</v>
      </c>
      <c r="F237" t="s">
        <v>12</v>
      </c>
      <c r="G237" t="s">
        <v>25</v>
      </c>
      <c r="H237">
        <v>55480.23</v>
      </c>
      <c r="I237">
        <v>0</v>
      </c>
      <c r="J237" t="str">
        <f t="shared" si="15"/>
        <v>High</v>
      </c>
      <c r="K237" t="str">
        <f t="shared" si="16"/>
        <v>Normal</v>
      </c>
      <c r="L237">
        <f t="shared" si="17"/>
        <v>1</v>
      </c>
      <c r="M237">
        <f t="shared" si="18"/>
        <v>1</v>
      </c>
      <c r="N237" s="6">
        <f t="shared" si="19"/>
        <v>45689</v>
      </c>
    </row>
    <row r="238" spans="1:14" x14ac:dyDescent="0.3">
      <c r="A238">
        <v>749</v>
      </c>
      <c r="B238">
        <v>10015</v>
      </c>
      <c r="C238" t="s">
        <v>772</v>
      </c>
      <c r="D238" t="s">
        <v>10</v>
      </c>
      <c r="E238" t="s">
        <v>11</v>
      </c>
      <c r="F238" t="s">
        <v>12</v>
      </c>
      <c r="G238" t="s">
        <v>25</v>
      </c>
      <c r="H238">
        <v>14906.92</v>
      </c>
      <c r="I238">
        <v>0</v>
      </c>
      <c r="J238" t="str">
        <f t="shared" si="15"/>
        <v>High</v>
      </c>
      <c r="K238" t="str">
        <f t="shared" si="16"/>
        <v>Normal</v>
      </c>
      <c r="L238">
        <f t="shared" si="17"/>
        <v>1</v>
      </c>
      <c r="M238">
        <f t="shared" si="18"/>
        <v>1</v>
      </c>
      <c r="N238" s="6">
        <f t="shared" si="19"/>
        <v>45689</v>
      </c>
    </row>
    <row r="239" spans="1:14" x14ac:dyDescent="0.3">
      <c r="A239">
        <v>750</v>
      </c>
      <c r="B239">
        <v>10071</v>
      </c>
      <c r="C239" t="s">
        <v>773</v>
      </c>
      <c r="D239" t="s">
        <v>20</v>
      </c>
      <c r="E239" t="s">
        <v>16</v>
      </c>
      <c r="F239" t="s">
        <v>17</v>
      </c>
      <c r="G239" t="s">
        <v>21</v>
      </c>
      <c r="H239">
        <v>9300.67</v>
      </c>
      <c r="I239">
        <v>0</v>
      </c>
      <c r="J239" t="str">
        <f t="shared" si="15"/>
        <v>High</v>
      </c>
      <c r="K239" t="str">
        <f t="shared" si="16"/>
        <v>Normal</v>
      </c>
      <c r="L239">
        <f t="shared" si="17"/>
        <v>1</v>
      </c>
      <c r="M239">
        <f t="shared" si="18"/>
        <v>1</v>
      </c>
      <c r="N239" s="6">
        <f t="shared" si="19"/>
        <v>45689</v>
      </c>
    </row>
    <row r="240" spans="1:14" x14ac:dyDescent="0.3">
      <c r="A240">
        <v>751</v>
      </c>
      <c r="B240">
        <v>10075</v>
      </c>
      <c r="C240" t="s">
        <v>774</v>
      </c>
      <c r="D240" t="s">
        <v>23</v>
      </c>
      <c r="E240" t="s">
        <v>16</v>
      </c>
      <c r="F240" t="s">
        <v>17</v>
      </c>
      <c r="G240" t="s">
        <v>21</v>
      </c>
      <c r="H240">
        <v>81546.11</v>
      </c>
      <c r="I240">
        <v>0</v>
      </c>
      <c r="J240" t="str">
        <f t="shared" si="15"/>
        <v>High</v>
      </c>
      <c r="K240" t="str">
        <f t="shared" si="16"/>
        <v>Normal</v>
      </c>
      <c r="L240">
        <f t="shared" si="17"/>
        <v>1</v>
      </c>
      <c r="M240">
        <f t="shared" si="18"/>
        <v>1</v>
      </c>
      <c r="N240" s="6">
        <f t="shared" si="19"/>
        <v>45689</v>
      </c>
    </row>
    <row r="241" spans="1:14" x14ac:dyDescent="0.3">
      <c r="A241">
        <v>752</v>
      </c>
      <c r="B241">
        <v>10023</v>
      </c>
      <c r="C241" t="s">
        <v>775</v>
      </c>
      <c r="D241" t="s">
        <v>29</v>
      </c>
      <c r="E241" t="s">
        <v>16</v>
      </c>
      <c r="F241" t="s">
        <v>17</v>
      </c>
      <c r="G241" t="s">
        <v>18</v>
      </c>
      <c r="H241">
        <v>89451</v>
      </c>
      <c r="I241">
        <v>0</v>
      </c>
      <c r="J241" t="str">
        <f t="shared" si="15"/>
        <v>High</v>
      </c>
      <c r="K241" t="str">
        <f t="shared" si="16"/>
        <v>Normal</v>
      </c>
      <c r="L241">
        <f t="shared" si="17"/>
        <v>1</v>
      </c>
      <c r="M241">
        <f t="shared" si="18"/>
        <v>1</v>
      </c>
      <c r="N241" s="6">
        <f t="shared" si="19"/>
        <v>45689</v>
      </c>
    </row>
    <row r="242" spans="1:14" x14ac:dyDescent="0.3">
      <c r="A242">
        <v>753</v>
      </c>
      <c r="B242">
        <v>10027</v>
      </c>
      <c r="C242" t="s">
        <v>776</v>
      </c>
      <c r="D242" t="s">
        <v>20</v>
      </c>
      <c r="E242" t="s">
        <v>16</v>
      </c>
      <c r="F242" t="s">
        <v>17</v>
      </c>
      <c r="G242" t="s">
        <v>18</v>
      </c>
      <c r="H242">
        <v>82378.28</v>
      </c>
      <c r="I242">
        <v>0</v>
      </c>
      <c r="J242" t="str">
        <f t="shared" si="15"/>
        <v>High</v>
      </c>
      <c r="K242" t="str">
        <f t="shared" si="16"/>
        <v>Normal</v>
      </c>
      <c r="L242">
        <f t="shared" si="17"/>
        <v>1</v>
      </c>
      <c r="M242">
        <f t="shared" si="18"/>
        <v>1</v>
      </c>
      <c r="N242" s="6">
        <f t="shared" si="19"/>
        <v>45689</v>
      </c>
    </row>
    <row r="243" spans="1:14" x14ac:dyDescent="0.3">
      <c r="A243">
        <v>754</v>
      </c>
      <c r="B243">
        <v>10007</v>
      </c>
      <c r="C243" t="s">
        <v>777</v>
      </c>
      <c r="D243" t="s">
        <v>29</v>
      </c>
      <c r="E243" t="s">
        <v>11</v>
      </c>
      <c r="F243" t="s">
        <v>12</v>
      </c>
      <c r="G243" t="s">
        <v>21</v>
      </c>
      <c r="H243">
        <v>89888.91</v>
      </c>
      <c r="I243">
        <v>1</v>
      </c>
      <c r="J243" t="str">
        <f t="shared" si="15"/>
        <v>High</v>
      </c>
      <c r="K243" t="str">
        <f t="shared" si="16"/>
        <v>High Risk</v>
      </c>
      <c r="L243">
        <f t="shared" si="17"/>
        <v>1</v>
      </c>
      <c r="M243">
        <f t="shared" si="18"/>
        <v>1</v>
      </c>
      <c r="N243" s="6">
        <f t="shared" si="19"/>
        <v>45689</v>
      </c>
    </row>
    <row r="244" spans="1:14" x14ac:dyDescent="0.3">
      <c r="A244">
        <v>755</v>
      </c>
      <c r="B244">
        <v>10091</v>
      </c>
      <c r="C244" t="s">
        <v>778</v>
      </c>
      <c r="D244" t="s">
        <v>20</v>
      </c>
      <c r="E244" t="s">
        <v>24</v>
      </c>
      <c r="F244" t="s">
        <v>17</v>
      </c>
      <c r="G244" t="s">
        <v>13</v>
      </c>
      <c r="H244">
        <v>55355.89</v>
      </c>
      <c r="I244">
        <v>0</v>
      </c>
      <c r="J244" t="str">
        <f t="shared" si="15"/>
        <v>High</v>
      </c>
      <c r="K244" t="str">
        <f t="shared" si="16"/>
        <v>Normal</v>
      </c>
      <c r="L244">
        <f t="shared" si="17"/>
        <v>1</v>
      </c>
      <c r="M244">
        <f t="shared" si="18"/>
        <v>1</v>
      </c>
      <c r="N244" s="6">
        <f t="shared" si="19"/>
        <v>45689</v>
      </c>
    </row>
    <row r="245" spans="1:14" x14ac:dyDescent="0.3">
      <c r="A245">
        <v>756</v>
      </c>
      <c r="B245">
        <v>10035</v>
      </c>
      <c r="C245" t="s">
        <v>779</v>
      </c>
      <c r="D245" t="s">
        <v>10</v>
      </c>
      <c r="E245" t="s">
        <v>11</v>
      </c>
      <c r="F245" t="s">
        <v>17</v>
      </c>
      <c r="G245" t="s">
        <v>18</v>
      </c>
      <c r="H245">
        <v>81244.59</v>
      </c>
      <c r="I245">
        <v>1</v>
      </c>
      <c r="J245" t="str">
        <f t="shared" si="15"/>
        <v>High</v>
      </c>
      <c r="K245" t="str">
        <f t="shared" si="16"/>
        <v>High Risk</v>
      </c>
      <c r="L245">
        <f t="shared" si="17"/>
        <v>1</v>
      </c>
      <c r="M245">
        <f t="shared" si="18"/>
        <v>1</v>
      </c>
      <c r="N245" s="6">
        <f t="shared" si="19"/>
        <v>45689</v>
      </c>
    </row>
    <row r="246" spans="1:14" x14ac:dyDescent="0.3">
      <c r="A246">
        <v>757</v>
      </c>
      <c r="B246">
        <v>10089</v>
      </c>
      <c r="C246" t="s">
        <v>780</v>
      </c>
      <c r="D246" t="s">
        <v>23</v>
      </c>
      <c r="E246" t="s">
        <v>11</v>
      </c>
      <c r="F246" t="s">
        <v>17</v>
      </c>
      <c r="G246" t="s">
        <v>13</v>
      </c>
      <c r="H246">
        <v>38465.86</v>
      </c>
      <c r="I246">
        <v>0</v>
      </c>
      <c r="J246" t="str">
        <f t="shared" si="15"/>
        <v>High</v>
      </c>
      <c r="K246" t="str">
        <f t="shared" si="16"/>
        <v>Normal</v>
      </c>
      <c r="L246">
        <f t="shared" si="17"/>
        <v>1</v>
      </c>
      <c r="M246">
        <f t="shared" si="18"/>
        <v>1</v>
      </c>
      <c r="N246" s="6">
        <f t="shared" si="19"/>
        <v>45689</v>
      </c>
    </row>
    <row r="247" spans="1:14" x14ac:dyDescent="0.3">
      <c r="A247">
        <v>758</v>
      </c>
      <c r="B247">
        <v>10007</v>
      </c>
      <c r="C247" t="s">
        <v>781</v>
      </c>
      <c r="D247" t="s">
        <v>20</v>
      </c>
      <c r="E247" t="s">
        <v>11</v>
      </c>
      <c r="F247" t="s">
        <v>12</v>
      </c>
      <c r="G247" t="s">
        <v>21</v>
      </c>
      <c r="H247">
        <v>66660.160000000003</v>
      </c>
      <c r="I247">
        <v>1</v>
      </c>
      <c r="J247" t="str">
        <f t="shared" si="15"/>
        <v>High</v>
      </c>
      <c r="K247" t="str">
        <f t="shared" si="16"/>
        <v>High Risk</v>
      </c>
      <c r="L247">
        <f t="shared" si="17"/>
        <v>1</v>
      </c>
      <c r="M247">
        <f t="shared" si="18"/>
        <v>1</v>
      </c>
      <c r="N247" s="6">
        <f t="shared" si="19"/>
        <v>45689</v>
      </c>
    </row>
    <row r="248" spans="1:14" x14ac:dyDescent="0.3">
      <c r="A248">
        <v>759</v>
      </c>
      <c r="B248">
        <v>10057</v>
      </c>
      <c r="C248" t="s">
        <v>782</v>
      </c>
      <c r="D248" t="s">
        <v>15</v>
      </c>
      <c r="E248" t="s">
        <v>24</v>
      </c>
      <c r="F248" t="s">
        <v>17</v>
      </c>
      <c r="G248" t="s">
        <v>18</v>
      </c>
      <c r="H248">
        <v>98884.67</v>
      </c>
      <c r="I248">
        <v>0</v>
      </c>
      <c r="J248" t="str">
        <f t="shared" si="15"/>
        <v>High</v>
      </c>
      <c r="K248" t="str">
        <f t="shared" si="16"/>
        <v>Normal</v>
      </c>
      <c r="L248">
        <f t="shared" si="17"/>
        <v>1</v>
      </c>
      <c r="M248">
        <f t="shared" si="18"/>
        <v>1</v>
      </c>
      <c r="N248" s="6">
        <f t="shared" si="19"/>
        <v>45689</v>
      </c>
    </row>
    <row r="249" spans="1:14" x14ac:dyDescent="0.3">
      <c r="A249">
        <v>760</v>
      </c>
      <c r="B249">
        <v>10059</v>
      </c>
      <c r="C249" t="s">
        <v>783</v>
      </c>
      <c r="D249" t="s">
        <v>15</v>
      </c>
      <c r="E249" t="s">
        <v>16</v>
      </c>
      <c r="F249" t="s">
        <v>17</v>
      </c>
      <c r="G249" t="s">
        <v>25</v>
      </c>
      <c r="H249">
        <v>22650.2</v>
      </c>
      <c r="I249">
        <v>0</v>
      </c>
      <c r="J249" t="str">
        <f t="shared" si="15"/>
        <v>High</v>
      </c>
      <c r="K249" t="str">
        <f t="shared" si="16"/>
        <v>Normal</v>
      </c>
      <c r="L249">
        <f t="shared" si="17"/>
        <v>1</v>
      </c>
      <c r="M249">
        <f t="shared" si="18"/>
        <v>1</v>
      </c>
      <c r="N249" s="6">
        <f t="shared" si="19"/>
        <v>45689</v>
      </c>
    </row>
    <row r="250" spans="1:14" x14ac:dyDescent="0.3">
      <c r="A250">
        <v>761</v>
      </c>
      <c r="B250">
        <v>10049</v>
      </c>
      <c r="C250" t="s">
        <v>784</v>
      </c>
      <c r="D250" t="s">
        <v>20</v>
      </c>
      <c r="E250" t="s">
        <v>16</v>
      </c>
      <c r="F250" t="s">
        <v>12</v>
      </c>
      <c r="G250" t="s">
        <v>21</v>
      </c>
      <c r="H250">
        <v>39050.980000000003</v>
      </c>
      <c r="I250">
        <v>0</v>
      </c>
      <c r="J250" t="str">
        <f t="shared" si="15"/>
        <v>High</v>
      </c>
      <c r="K250" t="str">
        <f t="shared" si="16"/>
        <v>Normal</v>
      </c>
      <c r="L250">
        <f t="shared" si="17"/>
        <v>1</v>
      </c>
      <c r="M250">
        <f t="shared" si="18"/>
        <v>1</v>
      </c>
      <c r="N250" s="6">
        <f t="shared" si="19"/>
        <v>45689</v>
      </c>
    </row>
    <row r="251" spans="1:14" x14ac:dyDescent="0.3">
      <c r="A251">
        <v>762</v>
      </c>
      <c r="B251">
        <v>10027</v>
      </c>
      <c r="C251" t="s">
        <v>785</v>
      </c>
      <c r="D251" t="s">
        <v>20</v>
      </c>
      <c r="E251" t="s">
        <v>16</v>
      </c>
      <c r="F251" t="s">
        <v>12</v>
      </c>
      <c r="G251" t="s">
        <v>31</v>
      </c>
      <c r="H251">
        <v>48056.73</v>
      </c>
      <c r="I251">
        <v>0</v>
      </c>
      <c r="J251" t="str">
        <f t="shared" si="15"/>
        <v>High</v>
      </c>
      <c r="K251" t="str">
        <f t="shared" si="16"/>
        <v>Normal</v>
      </c>
      <c r="L251">
        <f t="shared" si="17"/>
        <v>1</v>
      </c>
      <c r="M251">
        <f t="shared" si="18"/>
        <v>1</v>
      </c>
      <c r="N251" s="6">
        <f t="shared" si="19"/>
        <v>45689</v>
      </c>
    </row>
    <row r="252" spans="1:14" x14ac:dyDescent="0.3">
      <c r="A252">
        <v>763</v>
      </c>
      <c r="B252">
        <v>10091</v>
      </c>
      <c r="C252" t="s">
        <v>786</v>
      </c>
      <c r="D252" t="s">
        <v>20</v>
      </c>
      <c r="E252" t="s">
        <v>24</v>
      </c>
      <c r="F252" t="s">
        <v>17</v>
      </c>
      <c r="G252" t="s">
        <v>13</v>
      </c>
      <c r="H252">
        <v>13887.75</v>
      </c>
      <c r="I252">
        <v>0</v>
      </c>
      <c r="J252" t="str">
        <f t="shared" si="15"/>
        <v>High</v>
      </c>
      <c r="K252" t="str">
        <f t="shared" si="16"/>
        <v>Normal</v>
      </c>
      <c r="L252">
        <f t="shared" si="17"/>
        <v>1</v>
      </c>
      <c r="M252">
        <f t="shared" si="18"/>
        <v>1</v>
      </c>
      <c r="N252" s="6">
        <f t="shared" si="19"/>
        <v>45689</v>
      </c>
    </row>
    <row r="253" spans="1:14" x14ac:dyDescent="0.3">
      <c r="A253">
        <v>764</v>
      </c>
      <c r="B253">
        <v>10040</v>
      </c>
      <c r="C253" t="s">
        <v>787</v>
      </c>
      <c r="D253" t="s">
        <v>15</v>
      </c>
      <c r="E253" t="s">
        <v>16</v>
      </c>
      <c r="F253" t="s">
        <v>17</v>
      </c>
      <c r="G253" t="s">
        <v>21</v>
      </c>
      <c r="H253">
        <v>8195.76</v>
      </c>
      <c r="I253">
        <v>0</v>
      </c>
      <c r="J253" t="str">
        <f t="shared" si="15"/>
        <v>High</v>
      </c>
      <c r="K253" t="str">
        <f t="shared" si="16"/>
        <v>Normal</v>
      </c>
      <c r="L253">
        <f t="shared" si="17"/>
        <v>1</v>
      </c>
      <c r="M253">
        <f t="shared" si="18"/>
        <v>1</v>
      </c>
      <c r="N253" s="6">
        <f t="shared" si="19"/>
        <v>45689</v>
      </c>
    </row>
    <row r="254" spans="1:14" x14ac:dyDescent="0.3">
      <c r="A254">
        <v>765</v>
      </c>
      <c r="B254">
        <v>10099</v>
      </c>
      <c r="C254" t="s">
        <v>788</v>
      </c>
      <c r="D254" t="s">
        <v>15</v>
      </c>
      <c r="E254" t="s">
        <v>24</v>
      </c>
      <c r="F254" t="s">
        <v>17</v>
      </c>
      <c r="G254" t="s">
        <v>21</v>
      </c>
      <c r="H254">
        <v>82989.31</v>
      </c>
      <c r="I254">
        <v>0</v>
      </c>
      <c r="J254" t="str">
        <f t="shared" si="15"/>
        <v>High</v>
      </c>
      <c r="K254" t="str">
        <f t="shared" si="16"/>
        <v>Normal</v>
      </c>
      <c r="L254">
        <f t="shared" si="17"/>
        <v>1</v>
      </c>
      <c r="M254">
        <f t="shared" si="18"/>
        <v>1</v>
      </c>
      <c r="N254" s="6">
        <f t="shared" si="19"/>
        <v>45689</v>
      </c>
    </row>
    <row r="255" spans="1:14" x14ac:dyDescent="0.3">
      <c r="A255">
        <v>766</v>
      </c>
      <c r="B255">
        <v>10063</v>
      </c>
      <c r="C255" t="s">
        <v>789</v>
      </c>
      <c r="D255" t="s">
        <v>20</v>
      </c>
      <c r="E255" t="s">
        <v>16</v>
      </c>
      <c r="F255" t="s">
        <v>17</v>
      </c>
      <c r="G255" t="s">
        <v>18</v>
      </c>
      <c r="H255">
        <v>97681.76</v>
      </c>
      <c r="I255">
        <v>0</v>
      </c>
      <c r="J255" t="str">
        <f t="shared" si="15"/>
        <v>High</v>
      </c>
      <c r="K255" t="str">
        <f t="shared" si="16"/>
        <v>Normal</v>
      </c>
      <c r="L255">
        <f t="shared" si="17"/>
        <v>1</v>
      </c>
      <c r="M255">
        <f t="shared" si="18"/>
        <v>1</v>
      </c>
      <c r="N255" s="6">
        <f t="shared" si="19"/>
        <v>45689</v>
      </c>
    </row>
    <row r="256" spans="1:14" x14ac:dyDescent="0.3">
      <c r="A256">
        <v>767</v>
      </c>
      <c r="B256">
        <v>10026</v>
      </c>
      <c r="C256" t="s">
        <v>790</v>
      </c>
      <c r="D256" t="s">
        <v>29</v>
      </c>
      <c r="E256" t="s">
        <v>16</v>
      </c>
      <c r="F256" t="s">
        <v>17</v>
      </c>
      <c r="G256" t="s">
        <v>18</v>
      </c>
      <c r="H256">
        <v>40532.03</v>
      </c>
      <c r="I256">
        <v>0</v>
      </c>
      <c r="J256" t="str">
        <f t="shared" si="15"/>
        <v>High</v>
      </c>
      <c r="K256" t="str">
        <f t="shared" si="16"/>
        <v>Normal</v>
      </c>
      <c r="L256">
        <f t="shared" si="17"/>
        <v>1</v>
      </c>
      <c r="M256">
        <f t="shared" si="18"/>
        <v>1</v>
      </c>
      <c r="N256" s="6">
        <f t="shared" si="19"/>
        <v>45689</v>
      </c>
    </row>
    <row r="257" spans="1:14" x14ac:dyDescent="0.3">
      <c r="A257">
        <v>768</v>
      </c>
      <c r="B257">
        <v>10062</v>
      </c>
      <c r="C257" t="s">
        <v>791</v>
      </c>
      <c r="D257" t="s">
        <v>29</v>
      </c>
      <c r="E257" t="s">
        <v>11</v>
      </c>
      <c r="F257" t="s">
        <v>12</v>
      </c>
      <c r="G257" t="s">
        <v>18</v>
      </c>
      <c r="H257">
        <v>8856.2199999999993</v>
      </c>
      <c r="I257">
        <v>0</v>
      </c>
      <c r="J257" t="str">
        <f t="shared" si="15"/>
        <v>High</v>
      </c>
      <c r="K257" t="str">
        <f t="shared" si="16"/>
        <v>Normal</v>
      </c>
      <c r="L257">
        <f t="shared" si="17"/>
        <v>1</v>
      </c>
      <c r="M257">
        <f t="shared" si="18"/>
        <v>1</v>
      </c>
      <c r="N257" s="6">
        <f t="shared" si="19"/>
        <v>45689</v>
      </c>
    </row>
    <row r="258" spans="1:14" x14ac:dyDescent="0.3">
      <c r="A258">
        <v>721</v>
      </c>
      <c r="B258">
        <v>10044</v>
      </c>
      <c r="C258" t="s">
        <v>744</v>
      </c>
      <c r="D258" t="s">
        <v>29</v>
      </c>
      <c r="E258" t="s">
        <v>16</v>
      </c>
      <c r="F258" t="s">
        <v>12</v>
      </c>
      <c r="G258" t="s">
        <v>31</v>
      </c>
      <c r="H258">
        <v>61487.13</v>
      </c>
      <c r="I258">
        <v>0</v>
      </c>
      <c r="J258" t="str">
        <f t="shared" ref="J258:J321" si="20">IF(E258&gt;50000,"High","Normal")</f>
        <v>High</v>
      </c>
      <c r="K258" t="str">
        <f t="shared" ref="K258:K321" si="21">IF(AND(H258&gt;50000,E258="Online"),"High Risk","Normal")</f>
        <v>Normal</v>
      </c>
      <c r="L258">
        <f t="shared" ref="L258:L321" si="22">COUNTIFS(C:C,C258,B:B,B258)</f>
        <v>1</v>
      </c>
      <c r="M258">
        <f t="shared" ref="M258:M321" si="23">IF(E258&gt;50000,1,0) + IF(H258="Unusual",1,0) + IF(I258&gt;3,1,0)</f>
        <v>1</v>
      </c>
      <c r="N258" s="6">
        <f t="shared" ref="N258:N321" si="24">INT(C258)</f>
        <v>45688</v>
      </c>
    </row>
    <row r="259" spans="1:14" x14ac:dyDescent="0.3">
      <c r="A259">
        <v>722</v>
      </c>
      <c r="B259">
        <v>10060</v>
      </c>
      <c r="C259" t="s">
        <v>745</v>
      </c>
      <c r="D259" t="s">
        <v>29</v>
      </c>
      <c r="E259" t="s">
        <v>24</v>
      </c>
      <c r="F259" t="s">
        <v>12</v>
      </c>
      <c r="G259" t="s">
        <v>18</v>
      </c>
      <c r="H259">
        <v>58161.42</v>
      </c>
      <c r="I259">
        <v>0</v>
      </c>
      <c r="J259" t="str">
        <f t="shared" si="20"/>
        <v>High</v>
      </c>
      <c r="K259" t="str">
        <f t="shared" si="21"/>
        <v>Normal</v>
      </c>
      <c r="L259">
        <f t="shared" si="22"/>
        <v>1</v>
      </c>
      <c r="M259">
        <f t="shared" si="23"/>
        <v>1</v>
      </c>
      <c r="N259" s="6">
        <f t="shared" si="24"/>
        <v>45688</v>
      </c>
    </row>
    <row r="260" spans="1:14" x14ac:dyDescent="0.3">
      <c r="A260">
        <v>723</v>
      </c>
      <c r="B260">
        <v>10046</v>
      </c>
      <c r="C260" t="s">
        <v>746</v>
      </c>
      <c r="D260" t="s">
        <v>29</v>
      </c>
      <c r="E260" t="s">
        <v>24</v>
      </c>
      <c r="F260" t="s">
        <v>12</v>
      </c>
      <c r="G260" t="s">
        <v>25</v>
      </c>
      <c r="H260">
        <v>25438.19</v>
      </c>
      <c r="I260">
        <v>0</v>
      </c>
      <c r="J260" t="str">
        <f t="shared" si="20"/>
        <v>High</v>
      </c>
      <c r="K260" t="str">
        <f t="shared" si="21"/>
        <v>Normal</v>
      </c>
      <c r="L260">
        <f t="shared" si="22"/>
        <v>1</v>
      </c>
      <c r="M260">
        <f t="shared" si="23"/>
        <v>1</v>
      </c>
      <c r="N260" s="6">
        <f t="shared" si="24"/>
        <v>45688</v>
      </c>
    </row>
    <row r="261" spans="1:14" x14ac:dyDescent="0.3">
      <c r="A261">
        <v>724</v>
      </c>
      <c r="B261">
        <v>10020</v>
      </c>
      <c r="C261" t="s">
        <v>747</v>
      </c>
      <c r="D261" t="s">
        <v>23</v>
      </c>
      <c r="E261" t="s">
        <v>24</v>
      </c>
      <c r="F261" t="s">
        <v>12</v>
      </c>
      <c r="G261" t="s">
        <v>13</v>
      </c>
      <c r="H261">
        <v>75657.789999999994</v>
      </c>
      <c r="I261">
        <v>0</v>
      </c>
      <c r="J261" t="str">
        <f t="shared" si="20"/>
        <v>High</v>
      </c>
      <c r="K261" t="str">
        <f t="shared" si="21"/>
        <v>Normal</v>
      </c>
      <c r="L261">
        <f t="shared" si="22"/>
        <v>1</v>
      </c>
      <c r="M261">
        <f t="shared" si="23"/>
        <v>1</v>
      </c>
      <c r="N261" s="6">
        <f t="shared" si="24"/>
        <v>45688</v>
      </c>
    </row>
    <row r="262" spans="1:14" x14ac:dyDescent="0.3">
      <c r="A262">
        <v>725</v>
      </c>
      <c r="B262">
        <v>10079</v>
      </c>
      <c r="C262" t="s">
        <v>748</v>
      </c>
      <c r="D262" t="s">
        <v>20</v>
      </c>
      <c r="E262" t="s">
        <v>24</v>
      </c>
      <c r="F262" t="s">
        <v>12</v>
      </c>
      <c r="G262" t="s">
        <v>18</v>
      </c>
      <c r="H262">
        <v>8258.56</v>
      </c>
      <c r="I262">
        <v>0</v>
      </c>
      <c r="J262" t="str">
        <f t="shared" si="20"/>
        <v>High</v>
      </c>
      <c r="K262" t="str">
        <f t="shared" si="21"/>
        <v>Normal</v>
      </c>
      <c r="L262">
        <f t="shared" si="22"/>
        <v>1</v>
      </c>
      <c r="M262">
        <f t="shared" si="23"/>
        <v>1</v>
      </c>
      <c r="N262" s="6">
        <f t="shared" si="24"/>
        <v>45688</v>
      </c>
    </row>
    <row r="263" spans="1:14" x14ac:dyDescent="0.3">
      <c r="A263">
        <v>726</v>
      </c>
      <c r="B263">
        <v>10084</v>
      </c>
      <c r="C263" t="s">
        <v>749</v>
      </c>
      <c r="D263" t="s">
        <v>23</v>
      </c>
      <c r="E263" t="s">
        <v>16</v>
      </c>
      <c r="F263" t="s">
        <v>17</v>
      </c>
      <c r="G263" t="s">
        <v>31</v>
      </c>
      <c r="H263">
        <v>92436.28</v>
      </c>
      <c r="I263">
        <v>0</v>
      </c>
      <c r="J263" t="str">
        <f t="shared" si="20"/>
        <v>High</v>
      </c>
      <c r="K263" t="str">
        <f t="shared" si="21"/>
        <v>Normal</v>
      </c>
      <c r="L263">
        <f t="shared" si="22"/>
        <v>1</v>
      </c>
      <c r="M263">
        <f t="shared" si="23"/>
        <v>1</v>
      </c>
      <c r="N263" s="6">
        <f t="shared" si="24"/>
        <v>45688</v>
      </c>
    </row>
    <row r="264" spans="1:14" x14ac:dyDescent="0.3">
      <c r="A264">
        <v>727</v>
      </c>
      <c r="B264">
        <v>10074</v>
      </c>
      <c r="C264" t="s">
        <v>750</v>
      </c>
      <c r="D264" t="s">
        <v>15</v>
      </c>
      <c r="E264" t="s">
        <v>16</v>
      </c>
      <c r="F264" t="s">
        <v>17</v>
      </c>
      <c r="G264" t="s">
        <v>13</v>
      </c>
      <c r="H264">
        <v>32649.759999999998</v>
      </c>
      <c r="I264">
        <v>0</v>
      </c>
      <c r="J264" t="str">
        <f t="shared" si="20"/>
        <v>High</v>
      </c>
      <c r="K264" t="str">
        <f t="shared" si="21"/>
        <v>Normal</v>
      </c>
      <c r="L264">
        <f t="shared" si="22"/>
        <v>1</v>
      </c>
      <c r="M264">
        <f t="shared" si="23"/>
        <v>1</v>
      </c>
      <c r="N264" s="6">
        <f t="shared" si="24"/>
        <v>45688</v>
      </c>
    </row>
    <row r="265" spans="1:14" x14ac:dyDescent="0.3">
      <c r="A265">
        <v>728</v>
      </c>
      <c r="B265">
        <v>10035</v>
      </c>
      <c r="C265" t="s">
        <v>751</v>
      </c>
      <c r="D265" t="s">
        <v>29</v>
      </c>
      <c r="E265" t="s">
        <v>16</v>
      </c>
      <c r="F265" t="s">
        <v>12</v>
      </c>
      <c r="G265" t="s">
        <v>13</v>
      </c>
      <c r="H265">
        <v>12864.69</v>
      </c>
      <c r="I265">
        <v>0</v>
      </c>
      <c r="J265" t="str">
        <f t="shared" si="20"/>
        <v>High</v>
      </c>
      <c r="K265" t="str">
        <f t="shared" si="21"/>
        <v>Normal</v>
      </c>
      <c r="L265">
        <f t="shared" si="22"/>
        <v>1</v>
      </c>
      <c r="M265">
        <f t="shared" si="23"/>
        <v>1</v>
      </c>
      <c r="N265" s="6">
        <f t="shared" si="24"/>
        <v>45688</v>
      </c>
    </row>
    <row r="266" spans="1:14" x14ac:dyDescent="0.3">
      <c r="A266">
        <v>729</v>
      </c>
      <c r="B266">
        <v>10098</v>
      </c>
      <c r="C266" t="s">
        <v>752</v>
      </c>
      <c r="D266" t="s">
        <v>23</v>
      </c>
      <c r="E266" t="s">
        <v>11</v>
      </c>
      <c r="F266" t="s">
        <v>12</v>
      </c>
      <c r="G266" t="s">
        <v>31</v>
      </c>
      <c r="H266">
        <v>44292.42</v>
      </c>
      <c r="I266">
        <v>0</v>
      </c>
      <c r="J266" t="str">
        <f t="shared" si="20"/>
        <v>High</v>
      </c>
      <c r="K266" t="str">
        <f t="shared" si="21"/>
        <v>Normal</v>
      </c>
      <c r="L266">
        <f t="shared" si="22"/>
        <v>1</v>
      </c>
      <c r="M266">
        <f t="shared" si="23"/>
        <v>1</v>
      </c>
      <c r="N266" s="6">
        <f t="shared" si="24"/>
        <v>45688</v>
      </c>
    </row>
    <row r="267" spans="1:14" x14ac:dyDescent="0.3">
      <c r="A267">
        <v>730</v>
      </c>
      <c r="B267">
        <v>10018</v>
      </c>
      <c r="C267" t="s">
        <v>753</v>
      </c>
      <c r="D267" t="s">
        <v>23</v>
      </c>
      <c r="E267" t="s">
        <v>16</v>
      </c>
      <c r="F267" t="s">
        <v>12</v>
      </c>
      <c r="G267" t="s">
        <v>18</v>
      </c>
      <c r="H267">
        <v>4342.74</v>
      </c>
      <c r="I267">
        <v>0</v>
      </c>
      <c r="J267" t="str">
        <f t="shared" si="20"/>
        <v>High</v>
      </c>
      <c r="K267" t="str">
        <f t="shared" si="21"/>
        <v>Normal</v>
      </c>
      <c r="L267">
        <f t="shared" si="22"/>
        <v>1</v>
      </c>
      <c r="M267">
        <f t="shared" si="23"/>
        <v>1</v>
      </c>
      <c r="N267" s="6">
        <f t="shared" si="24"/>
        <v>45688</v>
      </c>
    </row>
    <row r="268" spans="1:14" x14ac:dyDescent="0.3">
      <c r="A268">
        <v>731</v>
      </c>
      <c r="B268">
        <v>10019</v>
      </c>
      <c r="C268" t="s">
        <v>754</v>
      </c>
      <c r="D268" t="s">
        <v>15</v>
      </c>
      <c r="E268" t="s">
        <v>24</v>
      </c>
      <c r="F268" t="s">
        <v>17</v>
      </c>
      <c r="G268" t="s">
        <v>21</v>
      </c>
      <c r="H268">
        <v>68494.16</v>
      </c>
      <c r="I268">
        <v>0</v>
      </c>
      <c r="J268" t="str">
        <f t="shared" si="20"/>
        <v>High</v>
      </c>
      <c r="K268" t="str">
        <f t="shared" si="21"/>
        <v>Normal</v>
      </c>
      <c r="L268">
        <f t="shared" si="22"/>
        <v>1</v>
      </c>
      <c r="M268">
        <f t="shared" si="23"/>
        <v>1</v>
      </c>
      <c r="N268" s="6">
        <f t="shared" si="24"/>
        <v>45688</v>
      </c>
    </row>
    <row r="269" spans="1:14" x14ac:dyDescent="0.3">
      <c r="A269">
        <v>732</v>
      </c>
      <c r="B269">
        <v>10056</v>
      </c>
      <c r="C269" t="s">
        <v>755</v>
      </c>
      <c r="D269" t="s">
        <v>10</v>
      </c>
      <c r="E269" t="s">
        <v>16</v>
      </c>
      <c r="F269" t="s">
        <v>17</v>
      </c>
      <c r="G269" t="s">
        <v>31</v>
      </c>
      <c r="H269">
        <v>90280.28</v>
      </c>
      <c r="I269">
        <v>0</v>
      </c>
      <c r="J269" t="str">
        <f t="shared" si="20"/>
        <v>High</v>
      </c>
      <c r="K269" t="str">
        <f t="shared" si="21"/>
        <v>Normal</v>
      </c>
      <c r="L269">
        <f t="shared" si="22"/>
        <v>1</v>
      </c>
      <c r="M269">
        <f t="shared" si="23"/>
        <v>1</v>
      </c>
      <c r="N269" s="6">
        <f t="shared" si="24"/>
        <v>45688</v>
      </c>
    </row>
    <row r="270" spans="1:14" x14ac:dyDescent="0.3">
      <c r="A270">
        <v>733</v>
      </c>
      <c r="B270">
        <v>10017</v>
      </c>
      <c r="C270" t="s">
        <v>756</v>
      </c>
      <c r="D270" t="s">
        <v>20</v>
      </c>
      <c r="E270" t="s">
        <v>24</v>
      </c>
      <c r="F270" t="s">
        <v>12</v>
      </c>
      <c r="G270" t="s">
        <v>31</v>
      </c>
      <c r="H270">
        <v>83742.570000000007</v>
      </c>
      <c r="I270">
        <v>0</v>
      </c>
      <c r="J270" t="str">
        <f t="shared" si="20"/>
        <v>High</v>
      </c>
      <c r="K270" t="str">
        <f t="shared" si="21"/>
        <v>Normal</v>
      </c>
      <c r="L270">
        <f t="shared" si="22"/>
        <v>1</v>
      </c>
      <c r="M270">
        <f t="shared" si="23"/>
        <v>1</v>
      </c>
      <c r="N270" s="6">
        <f t="shared" si="24"/>
        <v>45688</v>
      </c>
    </row>
    <row r="271" spans="1:14" x14ac:dyDescent="0.3">
      <c r="A271">
        <v>734</v>
      </c>
      <c r="B271">
        <v>10046</v>
      </c>
      <c r="C271" t="s">
        <v>757</v>
      </c>
      <c r="D271" t="s">
        <v>10</v>
      </c>
      <c r="E271" t="s">
        <v>11</v>
      </c>
      <c r="F271" t="s">
        <v>12</v>
      </c>
      <c r="G271" t="s">
        <v>31</v>
      </c>
      <c r="H271">
        <v>12824.21</v>
      </c>
      <c r="I271">
        <v>0</v>
      </c>
      <c r="J271" t="str">
        <f t="shared" si="20"/>
        <v>High</v>
      </c>
      <c r="K271" t="str">
        <f t="shared" si="21"/>
        <v>Normal</v>
      </c>
      <c r="L271">
        <f t="shared" si="22"/>
        <v>1</v>
      </c>
      <c r="M271">
        <f t="shared" si="23"/>
        <v>1</v>
      </c>
      <c r="N271" s="6">
        <f t="shared" si="24"/>
        <v>45688</v>
      </c>
    </row>
    <row r="272" spans="1:14" x14ac:dyDescent="0.3">
      <c r="A272">
        <v>735</v>
      </c>
      <c r="B272">
        <v>10048</v>
      </c>
      <c r="C272" t="s">
        <v>758</v>
      </c>
      <c r="D272" t="s">
        <v>29</v>
      </c>
      <c r="E272" t="s">
        <v>24</v>
      </c>
      <c r="F272" t="s">
        <v>17</v>
      </c>
      <c r="G272" t="s">
        <v>13</v>
      </c>
      <c r="H272">
        <v>12714.49</v>
      </c>
      <c r="I272">
        <v>0</v>
      </c>
      <c r="J272" t="str">
        <f t="shared" si="20"/>
        <v>High</v>
      </c>
      <c r="K272" t="str">
        <f t="shared" si="21"/>
        <v>Normal</v>
      </c>
      <c r="L272">
        <f t="shared" si="22"/>
        <v>1</v>
      </c>
      <c r="M272">
        <f t="shared" si="23"/>
        <v>1</v>
      </c>
      <c r="N272" s="6">
        <f t="shared" si="24"/>
        <v>45688</v>
      </c>
    </row>
    <row r="273" spans="1:14" x14ac:dyDescent="0.3">
      <c r="A273">
        <v>736</v>
      </c>
      <c r="B273">
        <v>10013</v>
      </c>
      <c r="C273" t="s">
        <v>759</v>
      </c>
      <c r="D273" t="s">
        <v>23</v>
      </c>
      <c r="E273" t="s">
        <v>24</v>
      </c>
      <c r="F273" t="s">
        <v>17</v>
      </c>
      <c r="G273" t="s">
        <v>25</v>
      </c>
      <c r="H273">
        <v>81362.100000000006</v>
      </c>
      <c r="I273">
        <v>0</v>
      </c>
      <c r="J273" t="str">
        <f t="shared" si="20"/>
        <v>High</v>
      </c>
      <c r="K273" t="str">
        <f t="shared" si="21"/>
        <v>Normal</v>
      </c>
      <c r="L273">
        <f t="shared" si="22"/>
        <v>1</v>
      </c>
      <c r="M273">
        <f t="shared" si="23"/>
        <v>1</v>
      </c>
      <c r="N273" s="6">
        <f t="shared" si="24"/>
        <v>45688</v>
      </c>
    </row>
    <row r="274" spans="1:14" x14ac:dyDescent="0.3">
      <c r="A274">
        <v>737</v>
      </c>
      <c r="B274">
        <v>10014</v>
      </c>
      <c r="C274" t="s">
        <v>760</v>
      </c>
      <c r="D274" t="s">
        <v>15</v>
      </c>
      <c r="E274" t="s">
        <v>24</v>
      </c>
      <c r="F274" t="s">
        <v>17</v>
      </c>
      <c r="G274" t="s">
        <v>21</v>
      </c>
      <c r="H274">
        <v>92433</v>
      </c>
      <c r="I274">
        <v>0</v>
      </c>
      <c r="J274" t="str">
        <f t="shared" si="20"/>
        <v>High</v>
      </c>
      <c r="K274" t="str">
        <f t="shared" si="21"/>
        <v>Normal</v>
      </c>
      <c r="L274">
        <f t="shared" si="22"/>
        <v>1</v>
      </c>
      <c r="M274">
        <f t="shared" si="23"/>
        <v>1</v>
      </c>
      <c r="N274" s="6">
        <f t="shared" si="24"/>
        <v>45688</v>
      </c>
    </row>
    <row r="275" spans="1:14" x14ac:dyDescent="0.3">
      <c r="A275">
        <v>738</v>
      </c>
      <c r="B275">
        <v>10030</v>
      </c>
      <c r="C275" t="s">
        <v>761</v>
      </c>
      <c r="D275" t="s">
        <v>15</v>
      </c>
      <c r="E275" t="s">
        <v>11</v>
      </c>
      <c r="F275" t="s">
        <v>17</v>
      </c>
      <c r="G275" t="s">
        <v>18</v>
      </c>
      <c r="H275">
        <v>46120.92</v>
      </c>
      <c r="I275">
        <v>0</v>
      </c>
      <c r="J275" t="str">
        <f t="shared" si="20"/>
        <v>High</v>
      </c>
      <c r="K275" t="str">
        <f t="shared" si="21"/>
        <v>Normal</v>
      </c>
      <c r="L275">
        <f t="shared" si="22"/>
        <v>1</v>
      </c>
      <c r="M275">
        <f t="shared" si="23"/>
        <v>1</v>
      </c>
      <c r="N275" s="6">
        <f t="shared" si="24"/>
        <v>45688</v>
      </c>
    </row>
    <row r="276" spans="1:14" x14ac:dyDescent="0.3">
      <c r="A276">
        <v>739</v>
      </c>
      <c r="B276">
        <v>10000</v>
      </c>
      <c r="C276" t="s">
        <v>762</v>
      </c>
      <c r="D276" t="s">
        <v>20</v>
      </c>
      <c r="E276" t="s">
        <v>16</v>
      </c>
      <c r="F276" t="s">
        <v>12</v>
      </c>
      <c r="G276" t="s">
        <v>18</v>
      </c>
      <c r="H276">
        <v>49947.21</v>
      </c>
      <c r="I276">
        <v>0</v>
      </c>
      <c r="J276" t="str">
        <f t="shared" si="20"/>
        <v>High</v>
      </c>
      <c r="K276" t="str">
        <f t="shared" si="21"/>
        <v>Normal</v>
      </c>
      <c r="L276">
        <f t="shared" si="22"/>
        <v>1</v>
      </c>
      <c r="M276">
        <f t="shared" si="23"/>
        <v>1</v>
      </c>
      <c r="N276" s="6">
        <f t="shared" si="24"/>
        <v>45688</v>
      </c>
    </row>
    <row r="277" spans="1:14" x14ac:dyDescent="0.3">
      <c r="A277">
        <v>740</v>
      </c>
      <c r="B277">
        <v>10053</v>
      </c>
      <c r="C277" t="s">
        <v>763</v>
      </c>
      <c r="D277" t="s">
        <v>10</v>
      </c>
      <c r="E277" t="s">
        <v>16</v>
      </c>
      <c r="F277" t="s">
        <v>17</v>
      </c>
      <c r="G277" t="s">
        <v>25</v>
      </c>
      <c r="H277">
        <v>31894.38</v>
      </c>
      <c r="I277">
        <v>0</v>
      </c>
      <c r="J277" t="str">
        <f t="shared" si="20"/>
        <v>High</v>
      </c>
      <c r="K277" t="str">
        <f t="shared" si="21"/>
        <v>Normal</v>
      </c>
      <c r="L277">
        <f t="shared" si="22"/>
        <v>1</v>
      </c>
      <c r="M277">
        <f t="shared" si="23"/>
        <v>1</v>
      </c>
      <c r="N277" s="6">
        <f t="shared" si="24"/>
        <v>45688</v>
      </c>
    </row>
    <row r="278" spans="1:14" x14ac:dyDescent="0.3">
      <c r="A278">
        <v>741</v>
      </c>
      <c r="B278">
        <v>10002</v>
      </c>
      <c r="C278" t="s">
        <v>764</v>
      </c>
      <c r="D278" t="s">
        <v>20</v>
      </c>
      <c r="E278" t="s">
        <v>11</v>
      </c>
      <c r="F278" t="s">
        <v>17</v>
      </c>
      <c r="G278" t="s">
        <v>31</v>
      </c>
      <c r="H278">
        <v>89437.09</v>
      </c>
      <c r="I278">
        <v>1</v>
      </c>
      <c r="J278" t="str">
        <f t="shared" si="20"/>
        <v>High</v>
      </c>
      <c r="K278" t="str">
        <f t="shared" si="21"/>
        <v>High Risk</v>
      </c>
      <c r="L278">
        <f t="shared" si="22"/>
        <v>1</v>
      </c>
      <c r="M278">
        <f t="shared" si="23"/>
        <v>1</v>
      </c>
      <c r="N278" s="6">
        <f t="shared" si="24"/>
        <v>45688</v>
      </c>
    </row>
    <row r="279" spans="1:14" x14ac:dyDescent="0.3">
      <c r="A279">
        <v>742</v>
      </c>
      <c r="B279">
        <v>10015</v>
      </c>
      <c r="C279" t="s">
        <v>765</v>
      </c>
      <c r="D279" t="s">
        <v>23</v>
      </c>
      <c r="E279" t="s">
        <v>24</v>
      </c>
      <c r="F279" t="s">
        <v>12</v>
      </c>
      <c r="G279" t="s">
        <v>21</v>
      </c>
      <c r="H279">
        <v>64525.8</v>
      </c>
      <c r="I279">
        <v>0</v>
      </c>
      <c r="J279" t="str">
        <f t="shared" si="20"/>
        <v>High</v>
      </c>
      <c r="K279" t="str">
        <f t="shared" si="21"/>
        <v>Normal</v>
      </c>
      <c r="L279">
        <f t="shared" si="22"/>
        <v>1</v>
      </c>
      <c r="M279">
        <f t="shared" si="23"/>
        <v>1</v>
      </c>
      <c r="N279" s="6">
        <f t="shared" si="24"/>
        <v>45688</v>
      </c>
    </row>
    <row r="280" spans="1:14" x14ac:dyDescent="0.3">
      <c r="A280">
        <v>743</v>
      </c>
      <c r="B280">
        <v>10086</v>
      </c>
      <c r="C280" t="s">
        <v>766</v>
      </c>
      <c r="D280" t="s">
        <v>20</v>
      </c>
      <c r="E280" t="s">
        <v>16</v>
      </c>
      <c r="F280" t="s">
        <v>17</v>
      </c>
      <c r="G280" t="s">
        <v>18</v>
      </c>
      <c r="H280">
        <v>28896.33</v>
      </c>
      <c r="I280">
        <v>0</v>
      </c>
      <c r="J280" t="str">
        <f t="shared" si="20"/>
        <v>High</v>
      </c>
      <c r="K280" t="str">
        <f t="shared" si="21"/>
        <v>Normal</v>
      </c>
      <c r="L280">
        <f t="shared" si="22"/>
        <v>1</v>
      </c>
      <c r="M280">
        <f t="shared" si="23"/>
        <v>1</v>
      </c>
      <c r="N280" s="6">
        <f t="shared" si="24"/>
        <v>45688</v>
      </c>
    </row>
    <row r="281" spans="1:14" x14ac:dyDescent="0.3">
      <c r="A281">
        <v>744</v>
      </c>
      <c r="B281">
        <v>10056</v>
      </c>
      <c r="C281" t="s">
        <v>767</v>
      </c>
      <c r="D281" t="s">
        <v>15</v>
      </c>
      <c r="E281" t="s">
        <v>11</v>
      </c>
      <c r="F281" t="s">
        <v>17</v>
      </c>
      <c r="G281" t="s">
        <v>18</v>
      </c>
      <c r="H281">
        <v>29948.41</v>
      </c>
      <c r="I281">
        <v>0</v>
      </c>
      <c r="J281" t="str">
        <f t="shared" si="20"/>
        <v>High</v>
      </c>
      <c r="K281" t="str">
        <f t="shared" si="21"/>
        <v>Normal</v>
      </c>
      <c r="L281">
        <f t="shared" si="22"/>
        <v>1</v>
      </c>
      <c r="M281">
        <f t="shared" si="23"/>
        <v>1</v>
      </c>
      <c r="N281" s="6">
        <f t="shared" si="24"/>
        <v>45688</v>
      </c>
    </row>
    <row r="282" spans="1:14" x14ac:dyDescent="0.3">
      <c r="A282">
        <v>697</v>
      </c>
      <c r="B282">
        <v>10044</v>
      </c>
      <c r="C282" t="s">
        <v>720</v>
      </c>
      <c r="D282" t="s">
        <v>23</v>
      </c>
      <c r="E282" t="s">
        <v>11</v>
      </c>
      <c r="F282" t="s">
        <v>12</v>
      </c>
      <c r="G282" t="s">
        <v>13</v>
      </c>
      <c r="H282">
        <v>72453.03</v>
      </c>
      <c r="I282">
        <v>1</v>
      </c>
      <c r="J282" t="str">
        <f t="shared" si="20"/>
        <v>High</v>
      </c>
      <c r="K282" t="str">
        <f t="shared" si="21"/>
        <v>High Risk</v>
      </c>
      <c r="L282">
        <f t="shared" si="22"/>
        <v>1</v>
      </c>
      <c r="M282">
        <f t="shared" si="23"/>
        <v>1</v>
      </c>
      <c r="N282" s="6">
        <f t="shared" si="24"/>
        <v>45687</v>
      </c>
    </row>
    <row r="283" spans="1:14" x14ac:dyDescent="0.3">
      <c r="A283">
        <v>698</v>
      </c>
      <c r="B283">
        <v>10012</v>
      </c>
      <c r="C283" t="s">
        <v>721</v>
      </c>
      <c r="D283" t="s">
        <v>23</v>
      </c>
      <c r="E283" t="s">
        <v>24</v>
      </c>
      <c r="F283" t="s">
        <v>17</v>
      </c>
      <c r="G283" t="s">
        <v>18</v>
      </c>
      <c r="H283">
        <v>49310.64</v>
      </c>
      <c r="I283">
        <v>0</v>
      </c>
      <c r="J283" t="str">
        <f t="shared" si="20"/>
        <v>High</v>
      </c>
      <c r="K283" t="str">
        <f t="shared" si="21"/>
        <v>Normal</v>
      </c>
      <c r="L283">
        <f t="shared" si="22"/>
        <v>1</v>
      </c>
      <c r="M283">
        <f t="shared" si="23"/>
        <v>1</v>
      </c>
      <c r="N283" s="6">
        <f t="shared" si="24"/>
        <v>45687</v>
      </c>
    </row>
    <row r="284" spans="1:14" x14ac:dyDescent="0.3">
      <c r="A284">
        <v>699</v>
      </c>
      <c r="B284">
        <v>10091</v>
      </c>
      <c r="C284" t="s">
        <v>722</v>
      </c>
      <c r="D284" t="s">
        <v>10</v>
      </c>
      <c r="E284" t="s">
        <v>24</v>
      </c>
      <c r="F284" t="s">
        <v>17</v>
      </c>
      <c r="G284" t="s">
        <v>31</v>
      </c>
      <c r="H284">
        <v>63377.83</v>
      </c>
      <c r="I284">
        <v>0</v>
      </c>
      <c r="J284" t="str">
        <f t="shared" si="20"/>
        <v>High</v>
      </c>
      <c r="K284" t="str">
        <f t="shared" si="21"/>
        <v>Normal</v>
      </c>
      <c r="L284">
        <f t="shared" si="22"/>
        <v>1</v>
      </c>
      <c r="M284">
        <f t="shared" si="23"/>
        <v>1</v>
      </c>
      <c r="N284" s="6">
        <f t="shared" si="24"/>
        <v>45687</v>
      </c>
    </row>
    <row r="285" spans="1:14" x14ac:dyDescent="0.3">
      <c r="A285">
        <v>700</v>
      </c>
      <c r="B285">
        <v>10057</v>
      </c>
      <c r="C285" t="s">
        <v>723</v>
      </c>
      <c r="D285" t="s">
        <v>10</v>
      </c>
      <c r="E285" t="s">
        <v>16</v>
      </c>
      <c r="F285" t="s">
        <v>12</v>
      </c>
      <c r="G285" t="s">
        <v>25</v>
      </c>
      <c r="H285">
        <v>80572.039999999994</v>
      </c>
      <c r="I285">
        <v>0</v>
      </c>
      <c r="J285" t="str">
        <f t="shared" si="20"/>
        <v>High</v>
      </c>
      <c r="K285" t="str">
        <f t="shared" si="21"/>
        <v>Normal</v>
      </c>
      <c r="L285">
        <f t="shared" si="22"/>
        <v>1</v>
      </c>
      <c r="M285">
        <f t="shared" si="23"/>
        <v>1</v>
      </c>
      <c r="N285" s="6">
        <f t="shared" si="24"/>
        <v>45687</v>
      </c>
    </row>
    <row r="286" spans="1:14" x14ac:dyDescent="0.3">
      <c r="A286">
        <v>701</v>
      </c>
      <c r="B286">
        <v>10019</v>
      </c>
      <c r="C286" t="s">
        <v>724</v>
      </c>
      <c r="D286" t="s">
        <v>10</v>
      </c>
      <c r="E286" t="s">
        <v>24</v>
      </c>
      <c r="F286" t="s">
        <v>12</v>
      </c>
      <c r="G286" t="s">
        <v>25</v>
      </c>
      <c r="H286">
        <v>39848.629999999997</v>
      </c>
      <c r="I286">
        <v>0</v>
      </c>
      <c r="J286" t="str">
        <f t="shared" si="20"/>
        <v>High</v>
      </c>
      <c r="K286" t="str">
        <f t="shared" si="21"/>
        <v>Normal</v>
      </c>
      <c r="L286">
        <f t="shared" si="22"/>
        <v>1</v>
      </c>
      <c r="M286">
        <f t="shared" si="23"/>
        <v>1</v>
      </c>
      <c r="N286" s="6">
        <f t="shared" si="24"/>
        <v>45687</v>
      </c>
    </row>
    <row r="287" spans="1:14" x14ac:dyDescent="0.3">
      <c r="A287">
        <v>702</v>
      </c>
      <c r="B287">
        <v>10091</v>
      </c>
      <c r="C287" t="s">
        <v>725</v>
      </c>
      <c r="D287" t="s">
        <v>10</v>
      </c>
      <c r="E287" t="s">
        <v>11</v>
      </c>
      <c r="F287" t="s">
        <v>17</v>
      </c>
      <c r="G287" t="s">
        <v>13</v>
      </c>
      <c r="H287">
        <v>80617.289999999994</v>
      </c>
      <c r="I287">
        <v>1</v>
      </c>
      <c r="J287" t="str">
        <f t="shared" si="20"/>
        <v>High</v>
      </c>
      <c r="K287" t="str">
        <f t="shared" si="21"/>
        <v>High Risk</v>
      </c>
      <c r="L287">
        <f t="shared" si="22"/>
        <v>1</v>
      </c>
      <c r="M287">
        <f t="shared" si="23"/>
        <v>1</v>
      </c>
      <c r="N287" s="6">
        <f t="shared" si="24"/>
        <v>45687</v>
      </c>
    </row>
    <row r="288" spans="1:14" x14ac:dyDescent="0.3">
      <c r="A288">
        <v>703</v>
      </c>
      <c r="B288">
        <v>10071</v>
      </c>
      <c r="C288" t="s">
        <v>726</v>
      </c>
      <c r="D288" t="s">
        <v>29</v>
      </c>
      <c r="E288" t="s">
        <v>24</v>
      </c>
      <c r="F288" t="s">
        <v>12</v>
      </c>
      <c r="G288" t="s">
        <v>25</v>
      </c>
      <c r="H288">
        <v>59242.48</v>
      </c>
      <c r="I288">
        <v>0</v>
      </c>
      <c r="J288" t="str">
        <f t="shared" si="20"/>
        <v>High</v>
      </c>
      <c r="K288" t="str">
        <f t="shared" si="21"/>
        <v>Normal</v>
      </c>
      <c r="L288">
        <f t="shared" si="22"/>
        <v>1</v>
      </c>
      <c r="M288">
        <f t="shared" si="23"/>
        <v>1</v>
      </c>
      <c r="N288" s="6">
        <f t="shared" si="24"/>
        <v>45687</v>
      </c>
    </row>
    <row r="289" spans="1:14" x14ac:dyDescent="0.3">
      <c r="A289">
        <v>704</v>
      </c>
      <c r="B289">
        <v>10060</v>
      </c>
      <c r="C289" t="s">
        <v>727</v>
      </c>
      <c r="D289" t="s">
        <v>20</v>
      </c>
      <c r="E289" t="s">
        <v>11</v>
      </c>
      <c r="F289" t="s">
        <v>17</v>
      </c>
      <c r="G289" t="s">
        <v>21</v>
      </c>
      <c r="H289">
        <v>16673.509999999998</v>
      </c>
      <c r="I289">
        <v>0</v>
      </c>
      <c r="J289" t="str">
        <f t="shared" si="20"/>
        <v>High</v>
      </c>
      <c r="K289" t="str">
        <f t="shared" si="21"/>
        <v>Normal</v>
      </c>
      <c r="L289">
        <f t="shared" si="22"/>
        <v>1</v>
      </c>
      <c r="M289">
        <f t="shared" si="23"/>
        <v>1</v>
      </c>
      <c r="N289" s="6">
        <f t="shared" si="24"/>
        <v>45687</v>
      </c>
    </row>
    <row r="290" spans="1:14" x14ac:dyDescent="0.3">
      <c r="A290">
        <v>705</v>
      </c>
      <c r="B290">
        <v>10038</v>
      </c>
      <c r="C290" t="s">
        <v>728</v>
      </c>
      <c r="D290" t="s">
        <v>15</v>
      </c>
      <c r="E290" t="s">
        <v>24</v>
      </c>
      <c r="F290" t="s">
        <v>17</v>
      </c>
      <c r="G290" t="s">
        <v>18</v>
      </c>
      <c r="H290">
        <v>2565.9499999999998</v>
      </c>
      <c r="I290">
        <v>0</v>
      </c>
      <c r="J290" t="str">
        <f t="shared" si="20"/>
        <v>High</v>
      </c>
      <c r="K290" t="str">
        <f t="shared" si="21"/>
        <v>Normal</v>
      </c>
      <c r="L290">
        <f t="shared" si="22"/>
        <v>1</v>
      </c>
      <c r="M290">
        <f t="shared" si="23"/>
        <v>1</v>
      </c>
      <c r="N290" s="6">
        <f t="shared" si="24"/>
        <v>45687</v>
      </c>
    </row>
    <row r="291" spans="1:14" x14ac:dyDescent="0.3">
      <c r="A291">
        <v>706</v>
      </c>
      <c r="B291">
        <v>10000</v>
      </c>
      <c r="C291" t="s">
        <v>729</v>
      </c>
      <c r="D291" t="s">
        <v>23</v>
      </c>
      <c r="E291" t="s">
        <v>16</v>
      </c>
      <c r="F291" t="s">
        <v>12</v>
      </c>
      <c r="G291" t="s">
        <v>31</v>
      </c>
      <c r="H291">
        <v>36339.08</v>
      </c>
      <c r="I291">
        <v>0</v>
      </c>
      <c r="J291" t="str">
        <f t="shared" si="20"/>
        <v>High</v>
      </c>
      <c r="K291" t="str">
        <f t="shared" si="21"/>
        <v>Normal</v>
      </c>
      <c r="L291">
        <f t="shared" si="22"/>
        <v>1</v>
      </c>
      <c r="M291">
        <f t="shared" si="23"/>
        <v>1</v>
      </c>
      <c r="N291" s="6">
        <f t="shared" si="24"/>
        <v>45687</v>
      </c>
    </row>
    <row r="292" spans="1:14" x14ac:dyDescent="0.3">
      <c r="A292">
        <v>707</v>
      </c>
      <c r="B292">
        <v>10002</v>
      </c>
      <c r="C292" t="s">
        <v>730</v>
      </c>
      <c r="D292" t="s">
        <v>29</v>
      </c>
      <c r="E292" t="s">
        <v>11</v>
      </c>
      <c r="F292" t="s">
        <v>17</v>
      </c>
      <c r="G292" t="s">
        <v>18</v>
      </c>
      <c r="H292">
        <v>54714.96</v>
      </c>
      <c r="I292">
        <v>1</v>
      </c>
      <c r="J292" t="str">
        <f t="shared" si="20"/>
        <v>High</v>
      </c>
      <c r="K292" t="str">
        <f t="shared" si="21"/>
        <v>High Risk</v>
      </c>
      <c r="L292">
        <f t="shared" si="22"/>
        <v>1</v>
      </c>
      <c r="M292">
        <f t="shared" si="23"/>
        <v>1</v>
      </c>
      <c r="N292" s="6">
        <f t="shared" si="24"/>
        <v>45687</v>
      </c>
    </row>
    <row r="293" spans="1:14" x14ac:dyDescent="0.3">
      <c r="A293">
        <v>708</v>
      </c>
      <c r="B293">
        <v>10076</v>
      </c>
      <c r="C293" t="s">
        <v>731</v>
      </c>
      <c r="D293" t="s">
        <v>15</v>
      </c>
      <c r="E293" t="s">
        <v>24</v>
      </c>
      <c r="F293" t="s">
        <v>17</v>
      </c>
      <c r="G293" t="s">
        <v>13</v>
      </c>
      <c r="H293">
        <v>83998.05</v>
      </c>
      <c r="I293">
        <v>0</v>
      </c>
      <c r="J293" t="str">
        <f t="shared" si="20"/>
        <v>High</v>
      </c>
      <c r="K293" t="str">
        <f t="shared" si="21"/>
        <v>Normal</v>
      </c>
      <c r="L293">
        <f t="shared" si="22"/>
        <v>1</v>
      </c>
      <c r="M293">
        <f t="shared" si="23"/>
        <v>1</v>
      </c>
      <c r="N293" s="6">
        <f t="shared" si="24"/>
        <v>45687</v>
      </c>
    </row>
    <row r="294" spans="1:14" x14ac:dyDescent="0.3">
      <c r="A294">
        <v>709</v>
      </c>
      <c r="B294">
        <v>10091</v>
      </c>
      <c r="C294" t="s">
        <v>732</v>
      </c>
      <c r="D294" t="s">
        <v>29</v>
      </c>
      <c r="E294" t="s">
        <v>24</v>
      </c>
      <c r="F294" t="s">
        <v>12</v>
      </c>
      <c r="G294" t="s">
        <v>31</v>
      </c>
      <c r="H294">
        <v>12835.82</v>
      </c>
      <c r="I294">
        <v>0</v>
      </c>
      <c r="J294" t="str">
        <f t="shared" si="20"/>
        <v>High</v>
      </c>
      <c r="K294" t="str">
        <f t="shared" si="21"/>
        <v>Normal</v>
      </c>
      <c r="L294">
        <f t="shared" si="22"/>
        <v>1</v>
      </c>
      <c r="M294">
        <f t="shared" si="23"/>
        <v>1</v>
      </c>
      <c r="N294" s="6">
        <f t="shared" si="24"/>
        <v>45687</v>
      </c>
    </row>
    <row r="295" spans="1:14" x14ac:dyDescent="0.3">
      <c r="A295">
        <v>710</v>
      </c>
      <c r="B295">
        <v>10061</v>
      </c>
      <c r="C295" t="s">
        <v>733</v>
      </c>
      <c r="D295" t="s">
        <v>29</v>
      </c>
      <c r="E295" t="s">
        <v>24</v>
      </c>
      <c r="F295" t="s">
        <v>12</v>
      </c>
      <c r="G295" t="s">
        <v>31</v>
      </c>
      <c r="H295">
        <v>80040.61</v>
      </c>
      <c r="I295">
        <v>0</v>
      </c>
      <c r="J295" t="str">
        <f t="shared" si="20"/>
        <v>High</v>
      </c>
      <c r="K295" t="str">
        <f t="shared" si="21"/>
        <v>Normal</v>
      </c>
      <c r="L295">
        <f t="shared" si="22"/>
        <v>1</v>
      </c>
      <c r="M295">
        <f t="shared" si="23"/>
        <v>1</v>
      </c>
      <c r="N295" s="6">
        <f t="shared" si="24"/>
        <v>45687</v>
      </c>
    </row>
    <row r="296" spans="1:14" x14ac:dyDescent="0.3">
      <c r="A296">
        <v>711</v>
      </c>
      <c r="B296">
        <v>10062</v>
      </c>
      <c r="C296" t="s">
        <v>734</v>
      </c>
      <c r="D296" t="s">
        <v>23</v>
      </c>
      <c r="E296" t="s">
        <v>11</v>
      </c>
      <c r="F296" t="s">
        <v>17</v>
      </c>
      <c r="G296" t="s">
        <v>21</v>
      </c>
      <c r="H296">
        <v>86314.6</v>
      </c>
      <c r="I296">
        <v>1</v>
      </c>
      <c r="J296" t="str">
        <f t="shared" si="20"/>
        <v>High</v>
      </c>
      <c r="K296" t="str">
        <f t="shared" si="21"/>
        <v>High Risk</v>
      </c>
      <c r="L296">
        <f t="shared" si="22"/>
        <v>1</v>
      </c>
      <c r="M296">
        <f t="shared" si="23"/>
        <v>1</v>
      </c>
      <c r="N296" s="6">
        <f t="shared" si="24"/>
        <v>45687</v>
      </c>
    </row>
    <row r="297" spans="1:14" x14ac:dyDescent="0.3">
      <c r="A297">
        <v>712</v>
      </c>
      <c r="B297">
        <v>10024</v>
      </c>
      <c r="C297" t="s">
        <v>735</v>
      </c>
      <c r="D297" t="s">
        <v>20</v>
      </c>
      <c r="E297" t="s">
        <v>11</v>
      </c>
      <c r="F297" t="s">
        <v>12</v>
      </c>
      <c r="G297" t="s">
        <v>13</v>
      </c>
      <c r="H297">
        <v>15153.68</v>
      </c>
      <c r="I297">
        <v>0</v>
      </c>
      <c r="J297" t="str">
        <f t="shared" si="20"/>
        <v>High</v>
      </c>
      <c r="K297" t="str">
        <f t="shared" si="21"/>
        <v>Normal</v>
      </c>
      <c r="L297">
        <f t="shared" si="22"/>
        <v>1</v>
      </c>
      <c r="M297">
        <f t="shared" si="23"/>
        <v>1</v>
      </c>
      <c r="N297" s="6">
        <f t="shared" si="24"/>
        <v>45687</v>
      </c>
    </row>
    <row r="298" spans="1:14" x14ac:dyDescent="0.3">
      <c r="A298">
        <v>713</v>
      </c>
      <c r="B298">
        <v>10055</v>
      </c>
      <c r="C298" t="s">
        <v>736</v>
      </c>
      <c r="D298" t="s">
        <v>10</v>
      </c>
      <c r="E298" t="s">
        <v>11</v>
      </c>
      <c r="F298" t="s">
        <v>12</v>
      </c>
      <c r="G298" t="s">
        <v>25</v>
      </c>
      <c r="H298">
        <v>85174.27</v>
      </c>
      <c r="I298">
        <v>1</v>
      </c>
      <c r="J298" t="str">
        <f t="shared" si="20"/>
        <v>High</v>
      </c>
      <c r="K298" t="str">
        <f t="shared" si="21"/>
        <v>High Risk</v>
      </c>
      <c r="L298">
        <f t="shared" si="22"/>
        <v>1</v>
      </c>
      <c r="M298">
        <f t="shared" si="23"/>
        <v>1</v>
      </c>
      <c r="N298" s="6">
        <f t="shared" si="24"/>
        <v>45687</v>
      </c>
    </row>
    <row r="299" spans="1:14" x14ac:dyDescent="0.3">
      <c r="A299">
        <v>714</v>
      </c>
      <c r="B299">
        <v>10032</v>
      </c>
      <c r="C299" t="s">
        <v>737</v>
      </c>
      <c r="D299" t="s">
        <v>20</v>
      </c>
      <c r="E299" t="s">
        <v>16</v>
      </c>
      <c r="F299" t="s">
        <v>12</v>
      </c>
      <c r="G299" t="s">
        <v>21</v>
      </c>
      <c r="H299">
        <v>99146.21</v>
      </c>
      <c r="I299">
        <v>0</v>
      </c>
      <c r="J299" t="str">
        <f t="shared" si="20"/>
        <v>High</v>
      </c>
      <c r="K299" t="str">
        <f t="shared" si="21"/>
        <v>Normal</v>
      </c>
      <c r="L299">
        <f t="shared" si="22"/>
        <v>1</v>
      </c>
      <c r="M299">
        <f t="shared" si="23"/>
        <v>1</v>
      </c>
      <c r="N299" s="6">
        <f t="shared" si="24"/>
        <v>45687</v>
      </c>
    </row>
    <row r="300" spans="1:14" x14ac:dyDescent="0.3">
      <c r="A300">
        <v>715</v>
      </c>
      <c r="B300">
        <v>10037</v>
      </c>
      <c r="C300" t="s">
        <v>738</v>
      </c>
      <c r="D300" t="s">
        <v>23</v>
      </c>
      <c r="E300" t="s">
        <v>16</v>
      </c>
      <c r="F300" t="s">
        <v>12</v>
      </c>
      <c r="G300" t="s">
        <v>21</v>
      </c>
      <c r="H300">
        <v>72711.199999999997</v>
      </c>
      <c r="I300">
        <v>0</v>
      </c>
      <c r="J300" t="str">
        <f t="shared" si="20"/>
        <v>High</v>
      </c>
      <c r="K300" t="str">
        <f t="shared" si="21"/>
        <v>Normal</v>
      </c>
      <c r="L300">
        <f t="shared" si="22"/>
        <v>1</v>
      </c>
      <c r="M300">
        <f t="shared" si="23"/>
        <v>1</v>
      </c>
      <c r="N300" s="6">
        <f t="shared" si="24"/>
        <v>45687</v>
      </c>
    </row>
    <row r="301" spans="1:14" x14ac:dyDescent="0.3">
      <c r="A301">
        <v>716</v>
      </c>
      <c r="B301">
        <v>10005</v>
      </c>
      <c r="C301" t="s">
        <v>739</v>
      </c>
      <c r="D301" t="s">
        <v>23</v>
      </c>
      <c r="E301" t="s">
        <v>11</v>
      </c>
      <c r="F301" t="s">
        <v>17</v>
      </c>
      <c r="G301" t="s">
        <v>18</v>
      </c>
      <c r="H301">
        <v>78498.490000000005</v>
      </c>
      <c r="I301">
        <v>1</v>
      </c>
      <c r="J301" t="str">
        <f t="shared" si="20"/>
        <v>High</v>
      </c>
      <c r="K301" t="str">
        <f t="shared" si="21"/>
        <v>High Risk</v>
      </c>
      <c r="L301">
        <f t="shared" si="22"/>
        <v>1</v>
      </c>
      <c r="M301">
        <f t="shared" si="23"/>
        <v>1</v>
      </c>
      <c r="N301" s="6">
        <f t="shared" si="24"/>
        <v>45687</v>
      </c>
    </row>
    <row r="302" spans="1:14" x14ac:dyDescent="0.3">
      <c r="A302">
        <v>717</v>
      </c>
      <c r="B302">
        <v>10057</v>
      </c>
      <c r="C302" t="s">
        <v>740</v>
      </c>
      <c r="D302" t="s">
        <v>23</v>
      </c>
      <c r="E302" t="s">
        <v>24</v>
      </c>
      <c r="F302" t="s">
        <v>17</v>
      </c>
      <c r="G302" t="s">
        <v>18</v>
      </c>
      <c r="H302">
        <v>99442.09</v>
      </c>
      <c r="I302">
        <v>0</v>
      </c>
      <c r="J302" t="str">
        <f t="shared" si="20"/>
        <v>High</v>
      </c>
      <c r="K302" t="str">
        <f t="shared" si="21"/>
        <v>Normal</v>
      </c>
      <c r="L302">
        <f t="shared" si="22"/>
        <v>1</v>
      </c>
      <c r="M302">
        <f t="shared" si="23"/>
        <v>1</v>
      </c>
      <c r="N302" s="6">
        <f t="shared" si="24"/>
        <v>45687</v>
      </c>
    </row>
    <row r="303" spans="1:14" x14ac:dyDescent="0.3">
      <c r="A303">
        <v>718</v>
      </c>
      <c r="B303">
        <v>10043</v>
      </c>
      <c r="C303" t="s">
        <v>741</v>
      </c>
      <c r="D303" t="s">
        <v>15</v>
      </c>
      <c r="E303" t="s">
        <v>16</v>
      </c>
      <c r="F303" t="s">
        <v>17</v>
      </c>
      <c r="G303" t="s">
        <v>18</v>
      </c>
      <c r="H303">
        <v>60587.58</v>
      </c>
      <c r="I303">
        <v>0</v>
      </c>
      <c r="J303" t="str">
        <f t="shared" si="20"/>
        <v>High</v>
      </c>
      <c r="K303" t="str">
        <f t="shared" si="21"/>
        <v>Normal</v>
      </c>
      <c r="L303">
        <f t="shared" si="22"/>
        <v>1</v>
      </c>
      <c r="M303">
        <f t="shared" si="23"/>
        <v>1</v>
      </c>
      <c r="N303" s="6">
        <f t="shared" si="24"/>
        <v>45687</v>
      </c>
    </row>
    <row r="304" spans="1:14" x14ac:dyDescent="0.3">
      <c r="A304">
        <v>719</v>
      </c>
      <c r="B304">
        <v>10044</v>
      </c>
      <c r="C304" t="s">
        <v>742</v>
      </c>
      <c r="D304" t="s">
        <v>20</v>
      </c>
      <c r="E304" t="s">
        <v>11</v>
      </c>
      <c r="F304" t="s">
        <v>12</v>
      </c>
      <c r="G304" t="s">
        <v>21</v>
      </c>
      <c r="H304">
        <v>30857.85</v>
      </c>
      <c r="I304">
        <v>0</v>
      </c>
      <c r="J304" t="str">
        <f t="shared" si="20"/>
        <v>High</v>
      </c>
      <c r="K304" t="str">
        <f t="shared" si="21"/>
        <v>Normal</v>
      </c>
      <c r="L304">
        <f t="shared" si="22"/>
        <v>1</v>
      </c>
      <c r="M304">
        <f t="shared" si="23"/>
        <v>1</v>
      </c>
      <c r="N304" s="6">
        <f t="shared" si="24"/>
        <v>45687</v>
      </c>
    </row>
    <row r="305" spans="1:14" x14ac:dyDescent="0.3">
      <c r="A305">
        <v>720</v>
      </c>
      <c r="B305">
        <v>10031</v>
      </c>
      <c r="C305" t="s">
        <v>743</v>
      </c>
      <c r="D305" t="s">
        <v>20</v>
      </c>
      <c r="E305" t="s">
        <v>24</v>
      </c>
      <c r="F305" t="s">
        <v>12</v>
      </c>
      <c r="G305" t="s">
        <v>25</v>
      </c>
      <c r="H305">
        <v>83769.33</v>
      </c>
      <c r="I305">
        <v>0</v>
      </c>
      <c r="J305" t="str">
        <f t="shared" si="20"/>
        <v>High</v>
      </c>
      <c r="K305" t="str">
        <f t="shared" si="21"/>
        <v>Normal</v>
      </c>
      <c r="L305">
        <f t="shared" si="22"/>
        <v>1</v>
      </c>
      <c r="M305">
        <f t="shared" si="23"/>
        <v>1</v>
      </c>
      <c r="N305" s="6">
        <f t="shared" si="24"/>
        <v>45687</v>
      </c>
    </row>
    <row r="306" spans="1:14" x14ac:dyDescent="0.3">
      <c r="A306">
        <v>673</v>
      </c>
      <c r="B306">
        <v>10036</v>
      </c>
      <c r="C306" t="s">
        <v>696</v>
      </c>
      <c r="D306" t="s">
        <v>20</v>
      </c>
      <c r="E306" t="s">
        <v>11</v>
      </c>
      <c r="F306" t="s">
        <v>12</v>
      </c>
      <c r="G306" t="s">
        <v>21</v>
      </c>
      <c r="H306">
        <v>1936.78</v>
      </c>
      <c r="I306">
        <v>0</v>
      </c>
      <c r="J306" t="str">
        <f t="shared" si="20"/>
        <v>High</v>
      </c>
      <c r="K306" t="str">
        <f t="shared" si="21"/>
        <v>Normal</v>
      </c>
      <c r="L306">
        <f t="shared" si="22"/>
        <v>1</v>
      </c>
      <c r="M306">
        <f t="shared" si="23"/>
        <v>1</v>
      </c>
      <c r="N306" s="6">
        <f t="shared" si="24"/>
        <v>45686</v>
      </c>
    </row>
    <row r="307" spans="1:14" x14ac:dyDescent="0.3">
      <c r="A307">
        <v>674</v>
      </c>
      <c r="B307">
        <v>10037</v>
      </c>
      <c r="C307" t="s">
        <v>697</v>
      </c>
      <c r="D307" t="s">
        <v>10</v>
      </c>
      <c r="E307" t="s">
        <v>11</v>
      </c>
      <c r="F307" t="s">
        <v>12</v>
      </c>
      <c r="G307" t="s">
        <v>21</v>
      </c>
      <c r="H307">
        <v>46460.26</v>
      </c>
      <c r="I307">
        <v>0</v>
      </c>
      <c r="J307" t="str">
        <f t="shared" si="20"/>
        <v>High</v>
      </c>
      <c r="K307" t="str">
        <f t="shared" si="21"/>
        <v>Normal</v>
      </c>
      <c r="L307">
        <f t="shared" si="22"/>
        <v>1</v>
      </c>
      <c r="M307">
        <f t="shared" si="23"/>
        <v>1</v>
      </c>
      <c r="N307" s="6">
        <f t="shared" si="24"/>
        <v>45686</v>
      </c>
    </row>
    <row r="308" spans="1:14" x14ac:dyDescent="0.3">
      <c r="A308">
        <v>675</v>
      </c>
      <c r="B308">
        <v>10082</v>
      </c>
      <c r="C308" t="s">
        <v>698</v>
      </c>
      <c r="D308" t="s">
        <v>20</v>
      </c>
      <c r="E308" t="s">
        <v>11</v>
      </c>
      <c r="F308" t="s">
        <v>12</v>
      </c>
      <c r="G308" t="s">
        <v>18</v>
      </c>
      <c r="H308">
        <v>94311.88</v>
      </c>
      <c r="I308">
        <v>1</v>
      </c>
      <c r="J308" t="str">
        <f t="shared" si="20"/>
        <v>High</v>
      </c>
      <c r="K308" t="str">
        <f t="shared" si="21"/>
        <v>High Risk</v>
      </c>
      <c r="L308">
        <f t="shared" si="22"/>
        <v>1</v>
      </c>
      <c r="M308">
        <f t="shared" si="23"/>
        <v>1</v>
      </c>
      <c r="N308" s="6">
        <f t="shared" si="24"/>
        <v>45686</v>
      </c>
    </row>
    <row r="309" spans="1:14" x14ac:dyDescent="0.3">
      <c r="A309">
        <v>676</v>
      </c>
      <c r="B309">
        <v>10007</v>
      </c>
      <c r="C309" t="s">
        <v>699</v>
      </c>
      <c r="D309" t="s">
        <v>23</v>
      </c>
      <c r="E309" t="s">
        <v>24</v>
      </c>
      <c r="F309" t="s">
        <v>17</v>
      </c>
      <c r="G309" t="s">
        <v>13</v>
      </c>
      <c r="H309">
        <v>32449.58</v>
      </c>
      <c r="I309">
        <v>0</v>
      </c>
      <c r="J309" t="str">
        <f t="shared" si="20"/>
        <v>High</v>
      </c>
      <c r="K309" t="str">
        <f t="shared" si="21"/>
        <v>Normal</v>
      </c>
      <c r="L309">
        <f t="shared" si="22"/>
        <v>1</v>
      </c>
      <c r="M309">
        <f t="shared" si="23"/>
        <v>1</v>
      </c>
      <c r="N309" s="6">
        <f t="shared" si="24"/>
        <v>45686</v>
      </c>
    </row>
    <row r="310" spans="1:14" x14ac:dyDescent="0.3">
      <c r="A310">
        <v>677</v>
      </c>
      <c r="B310">
        <v>10064</v>
      </c>
      <c r="C310" t="s">
        <v>700</v>
      </c>
      <c r="D310" t="s">
        <v>15</v>
      </c>
      <c r="E310" t="s">
        <v>24</v>
      </c>
      <c r="F310" t="s">
        <v>12</v>
      </c>
      <c r="G310" t="s">
        <v>21</v>
      </c>
      <c r="H310">
        <v>66147.95</v>
      </c>
      <c r="I310">
        <v>0</v>
      </c>
      <c r="J310" t="str">
        <f t="shared" si="20"/>
        <v>High</v>
      </c>
      <c r="K310" t="str">
        <f t="shared" si="21"/>
        <v>Normal</v>
      </c>
      <c r="L310">
        <f t="shared" si="22"/>
        <v>1</v>
      </c>
      <c r="M310">
        <f t="shared" si="23"/>
        <v>1</v>
      </c>
      <c r="N310" s="6">
        <f t="shared" si="24"/>
        <v>45686</v>
      </c>
    </row>
    <row r="311" spans="1:14" x14ac:dyDescent="0.3">
      <c r="A311">
        <v>678</v>
      </c>
      <c r="B311">
        <v>10085</v>
      </c>
      <c r="C311" t="s">
        <v>701</v>
      </c>
      <c r="D311" t="s">
        <v>20</v>
      </c>
      <c r="E311" t="s">
        <v>24</v>
      </c>
      <c r="F311" t="s">
        <v>12</v>
      </c>
      <c r="G311" t="s">
        <v>21</v>
      </c>
      <c r="H311">
        <v>65258.31</v>
      </c>
      <c r="I311">
        <v>0</v>
      </c>
      <c r="J311" t="str">
        <f t="shared" si="20"/>
        <v>High</v>
      </c>
      <c r="K311" t="str">
        <f t="shared" si="21"/>
        <v>Normal</v>
      </c>
      <c r="L311">
        <f t="shared" si="22"/>
        <v>1</v>
      </c>
      <c r="M311">
        <f t="shared" si="23"/>
        <v>1</v>
      </c>
      <c r="N311" s="6">
        <f t="shared" si="24"/>
        <v>45686</v>
      </c>
    </row>
    <row r="312" spans="1:14" x14ac:dyDescent="0.3">
      <c r="A312">
        <v>679</v>
      </c>
      <c r="B312">
        <v>10016</v>
      </c>
      <c r="C312" t="s">
        <v>702</v>
      </c>
      <c r="D312" t="s">
        <v>15</v>
      </c>
      <c r="E312" t="s">
        <v>24</v>
      </c>
      <c r="F312" t="s">
        <v>17</v>
      </c>
      <c r="G312" t="s">
        <v>31</v>
      </c>
      <c r="H312">
        <v>25182.9</v>
      </c>
      <c r="I312">
        <v>0</v>
      </c>
      <c r="J312" t="str">
        <f t="shared" si="20"/>
        <v>High</v>
      </c>
      <c r="K312" t="str">
        <f t="shared" si="21"/>
        <v>Normal</v>
      </c>
      <c r="L312">
        <f t="shared" si="22"/>
        <v>1</v>
      </c>
      <c r="M312">
        <f t="shared" si="23"/>
        <v>1</v>
      </c>
      <c r="N312" s="6">
        <f t="shared" si="24"/>
        <v>45686</v>
      </c>
    </row>
    <row r="313" spans="1:14" x14ac:dyDescent="0.3">
      <c r="A313">
        <v>680</v>
      </c>
      <c r="B313">
        <v>10070</v>
      </c>
      <c r="C313" t="s">
        <v>703</v>
      </c>
      <c r="D313" t="s">
        <v>10</v>
      </c>
      <c r="E313" t="s">
        <v>24</v>
      </c>
      <c r="F313" t="s">
        <v>17</v>
      </c>
      <c r="G313" t="s">
        <v>31</v>
      </c>
      <c r="H313">
        <v>65077.48</v>
      </c>
      <c r="I313">
        <v>0</v>
      </c>
      <c r="J313" t="str">
        <f t="shared" si="20"/>
        <v>High</v>
      </c>
      <c r="K313" t="str">
        <f t="shared" si="21"/>
        <v>Normal</v>
      </c>
      <c r="L313">
        <f t="shared" si="22"/>
        <v>1</v>
      </c>
      <c r="M313">
        <f t="shared" si="23"/>
        <v>1</v>
      </c>
      <c r="N313" s="6">
        <f t="shared" si="24"/>
        <v>45686</v>
      </c>
    </row>
    <row r="314" spans="1:14" x14ac:dyDescent="0.3">
      <c r="A314">
        <v>681</v>
      </c>
      <c r="B314">
        <v>10088</v>
      </c>
      <c r="C314" t="s">
        <v>704</v>
      </c>
      <c r="D314" t="s">
        <v>15</v>
      </c>
      <c r="E314" t="s">
        <v>11</v>
      </c>
      <c r="F314" t="s">
        <v>17</v>
      </c>
      <c r="G314" t="s">
        <v>21</v>
      </c>
      <c r="H314">
        <v>21312.16</v>
      </c>
      <c r="I314">
        <v>0</v>
      </c>
      <c r="J314" t="str">
        <f t="shared" si="20"/>
        <v>High</v>
      </c>
      <c r="K314" t="str">
        <f t="shared" si="21"/>
        <v>Normal</v>
      </c>
      <c r="L314">
        <f t="shared" si="22"/>
        <v>1</v>
      </c>
      <c r="M314">
        <f t="shared" si="23"/>
        <v>1</v>
      </c>
      <c r="N314" s="6">
        <f t="shared" si="24"/>
        <v>45686</v>
      </c>
    </row>
    <row r="315" spans="1:14" x14ac:dyDescent="0.3">
      <c r="A315">
        <v>682</v>
      </c>
      <c r="B315">
        <v>10044</v>
      </c>
      <c r="C315" t="s">
        <v>705</v>
      </c>
      <c r="D315" t="s">
        <v>10</v>
      </c>
      <c r="E315" t="s">
        <v>24</v>
      </c>
      <c r="F315" t="s">
        <v>17</v>
      </c>
      <c r="G315" t="s">
        <v>18</v>
      </c>
      <c r="H315">
        <v>12288.54</v>
      </c>
      <c r="I315">
        <v>0</v>
      </c>
      <c r="J315" t="str">
        <f t="shared" si="20"/>
        <v>High</v>
      </c>
      <c r="K315" t="str">
        <f t="shared" si="21"/>
        <v>Normal</v>
      </c>
      <c r="L315">
        <f t="shared" si="22"/>
        <v>1</v>
      </c>
      <c r="M315">
        <f t="shared" si="23"/>
        <v>1</v>
      </c>
      <c r="N315" s="6">
        <f t="shared" si="24"/>
        <v>45686</v>
      </c>
    </row>
    <row r="316" spans="1:14" x14ac:dyDescent="0.3">
      <c r="A316">
        <v>683</v>
      </c>
      <c r="B316">
        <v>10003</v>
      </c>
      <c r="C316" t="s">
        <v>706</v>
      </c>
      <c r="D316" t="s">
        <v>23</v>
      </c>
      <c r="E316" t="s">
        <v>24</v>
      </c>
      <c r="F316" t="s">
        <v>12</v>
      </c>
      <c r="G316" t="s">
        <v>21</v>
      </c>
      <c r="H316">
        <v>70168.19</v>
      </c>
      <c r="I316">
        <v>0</v>
      </c>
      <c r="J316" t="str">
        <f t="shared" si="20"/>
        <v>High</v>
      </c>
      <c r="K316" t="str">
        <f t="shared" si="21"/>
        <v>Normal</v>
      </c>
      <c r="L316">
        <f t="shared" si="22"/>
        <v>1</v>
      </c>
      <c r="M316">
        <f t="shared" si="23"/>
        <v>1</v>
      </c>
      <c r="N316" s="6">
        <f t="shared" si="24"/>
        <v>45686</v>
      </c>
    </row>
    <row r="317" spans="1:14" x14ac:dyDescent="0.3">
      <c r="A317">
        <v>684</v>
      </c>
      <c r="B317">
        <v>10035</v>
      </c>
      <c r="C317" t="s">
        <v>707</v>
      </c>
      <c r="D317" t="s">
        <v>10</v>
      </c>
      <c r="E317" t="s">
        <v>11</v>
      </c>
      <c r="F317" t="s">
        <v>12</v>
      </c>
      <c r="G317" t="s">
        <v>25</v>
      </c>
      <c r="H317">
        <v>11432.74</v>
      </c>
      <c r="I317">
        <v>0</v>
      </c>
      <c r="J317" t="str">
        <f t="shared" si="20"/>
        <v>High</v>
      </c>
      <c r="K317" t="str">
        <f t="shared" si="21"/>
        <v>Normal</v>
      </c>
      <c r="L317">
        <f t="shared" si="22"/>
        <v>1</v>
      </c>
      <c r="M317">
        <f t="shared" si="23"/>
        <v>1</v>
      </c>
      <c r="N317" s="6">
        <f t="shared" si="24"/>
        <v>45686</v>
      </c>
    </row>
    <row r="318" spans="1:14" x14ac:dyDescent="0.3">
      <c r="A318">
        <v>685</v>
      </c>
      <c r="B318">
        <v>10069</v>
      </c>
      <c r="C318" t="s">
        <v>708</v>
      </c>
      <c r="D318" t="s">
        <v>10</v>
      </c>
      <c r="E318" t="s">
        <v>24</v>
      </c>
      <c r="F318" t="s">
        <v>17</v>
      </c>
      <c r="G318" t="s">
        <v>13</v>
      </c>
      <c r="H318">
        <v>99691.23</v>
      </c>
      <c r="I318">
        <v>0</v>
      </c>
      <c r="J318" t="str">
        <f t="shared" si="20"/>
        <v>High</v>
      </c>
      <c r="K318" t="str">
        <f t="shared" si="21"/>
        <v>Normal</v>
      </c>
      <c r="L318">
        <f t="shared" si="22"/>
        <v>1</v>
      </c>
      <c r="M318">
        <f t="shared" si="23"/>
        <v>1</v>
      </c>
      <c r="N318" s="6">
        <f t="shared" si="24"/>
        <v>45686</v>
      </c>
    </row>
    <row r="319" spans="1:14" x14ac:dyDescent="0.3">
      <c r="A319">
        <v>686</v>
      </c>
      <c r="B319">
        <v>10030</v>
      </c>
      <c r="C319" t="s">
        <v>709</v>
      </c>
      <c r="D319" t="s">
        <v>29</v>
      </c>
      <c r="E319" t="s">
        <v>11</v>
      </c>
      <c r="F319" t="s">
        <v>17</v>
      </c>
      <c r="G319" t="s">
        <v>18</v>
      </c>
      <c r="H319">
        <v>18426.89</v>
      </c>
      <c r="I319">
        <v>0</v>
      </c>
      <c r="J319" t="str">
        <f t="shared" si="20"/>
        <v>High</v>
      </c>
      <c r="K319" t="str">
        <f t="shared" si="21"/>
        <v>Normal</v>
      </c>
      <c r="L319">
        <f t="shared" si="22"/>
        <v>1</v>
      </c>
      <c r="M319">
        <f t="shared" si="23"/>
        <v>1</v>
      </c>
      <c r="N319" s="6">
        <f t="shared" si="24"/>
        <v>45686</v>
      </c>
    </row>
    <row r="320" spans="1:14" x14ac:dyDescent="0.3">
      <c r="A320">
        <v>687</v>
      </c>
      <c r="B320">
        <v>10018</v>
      </c>
      <c r="C320" t="s">
        <v>710</v>
      </c>
      <c r="D320" t="s">
        <v>20</v>
      </c>
      <c r="E320" t="s">
        <v>11</v>
      </c>
      <c r="F320" t="s">
        <v>17</v>
      </c>
      <c r="G320" t="s">
        <v>25</v>
      </c>
      <c r="H320">
        <v>59454.77</v>
      </c>
      <c r="I320">
        <v>1</v>
      </c>
      <c r="J320" t="str">
        <f t="shared" si="20"/>
        <v>High</v>
      </c>
      <c r="K320" t="str">
        <f t="shared" si="21"/>
        <v>High Risk</v>
      </c>
      <c r="L320">
        <f t="shared" si="22"/>
        <v>1</v>
      </c>
      <c r="M320">
        <f t="shared" si="23"/>
        <v>1</v>
      </c>
      <c r="N320" s="6">
        <f t="shared" si="24"/>
        <v>45686</v>
      </c>
    </row>
    <row r="321" spans="1:14" x14ac:dyDescent="0.3">
      <c r="A321">
        <v>688</v>
      </c>
      <c r="B321">
        <v>10060</v>
      </c>
      <c r="C321" t="s">
        <v>711</v>
      </c>
      <c r="D321" t="s">
        <v>20</v>
      </c>
      <c r="E321" t="s">
        <v>16</v>
      </c>
      <c r="F321" t="s">
        <v>12</v>
      </c>
      <c r="G321" t="s">
        <v>18</v>
      </c>
      <c r="H321">
        <v>41196.32</v>
      </c>
      <c r="I321">
        <v>0</v>
      </c>
      <c r="J321" t="str">
        <f t="shared" si="20"/>
        <v>High</v>
      </c>
      <c r="K321" t="str">
        <f t="shared" si="21"/>
        <v>Normal</v>
      </c>
      <c r="L321">
        <f t="shared" si="22"/>
        <v>1</v>
      </c>
      <c r="M321">
        <f t="shared" si="23"/>
        <v>1</v>
      </c>
      <c r="N321" s="6">
        <f t="shared" si="24"/>
        <v>45686</v>
      </c>
    </row>
    <row r="322" spans="1:14" x14ac:dyDescent="0.3">
      <c r="A322">
        <v>689</v>
      </c>
      <c r="B322">
        <v>10053</v>
      </c>
      <c r="C322" t="s">
        <v>712</v>
      </c>
      <c r="D322" t="s">
        <v>23</v>
      </c>
      <c r="E322" t="s">
        <v>16</v>
      </c>
      <c r="F322" t="s">
        <v>12</v>
      </c>
      <c r="G322" t="s">
        <v>25</v>
      </c>
      <c r="H322">
        <v>12726</v>
      </c>
      <c r="I322">
        <v>0</v>
      </c>
      <c r="J322" t="str">
        <f t="shared" ref="J322:J385" si="25">IF(E322&gt;50000,"High","Normal")</f>
        <v>High</v>
      </c>
      <c r="K322" t="str">
        <f t="shared" ref="K322:K385" si="26">IF(AND(H322&gt;50000,E322="Online"),"High Risk","Normal")</f>
        <v>Normal</v>
      </c>
      <c r="L322">
        <f t="shared" ref="L322:L385" si="27">COUNTIFS(C:C,C322,B:B,B322)</f>
        <v>1</v>
      </c>
      <c r="M322">
        <f t="shared" ref="M322:M385" si="28">IF(E322&gt;50000,1,0) + IF(H322="Unusual",1,0) + IF(I322&gt;3,1,0)</f>
        <v>1</v>
      </c>
      <c r="N322" s="6">
        <f t="shared" ref="N322:N385" si="29">INT(C322)</f>
        <v>45686</v>
      </c>
    </row>
    <row r="323" spans="1:14" x14ac:dyDescent="0.3">
      <c r="A323">
        <v>690</v>
      </c>
      <c r="B323">
        <v>10038</v>
      </c>
      <c r="C323" t="s">
        <v>713</v>
      </c>
      <c r="D323" t="s">
        <v>23</v>
      </c>
      <c r="E323" t="s">
        <v>16</v>
      </c>
      <c r="F323" t="s">
        <v>17</v>
      </c>
      <c r="G323" t="s">
        <v>13</v>
      </c>
      <c r="H323">
        <v>2881.61</v>
      </c>
      <c r="I323">
        <v>0</v>
      </c>
      <c r="J323" t="str">
        <f t="shared" si="25"/>
        <v>High</v>
      </c>
      <c r="K323" t="str">
        <f t="shared" si="26"/>
        <v>Normal</v>
      </c>
      <c r="L323">
        <f t="shared" si="27"/>
        <v>1</v>
      </c>
      <c r="M323">
        <f t="shared" si="28"/>
        <v>1</v>
      </c>
      <c r="N323" s="6">
        <f t="shared" si="29"/>
        <v>45686</v>
      </c>
    </row>
    <row r="324" spans="1:14" x14ac:dyDescent="0.3">
      <c r="A324">
        <v>691</v>
      </c>
      <c r="B324">
        <v>10090</v>
      </c>
      <c r="C324" t="s">
        <v>714</v>
      </c>
      <c r="D324" t="s">
        <v>20</v>
      </c>
      <c r="E324" t="s">
        <v>16</v>
      </c>
      <c r="F324" t="s">
        <v>17</v>
      </c>
      <c r="G324" t="s">
        <v>13</v>
      </c>
      <c r="H324">
        <v>62310.96</v>
      </c>
      <c r="I324">
        <v>0</v>
      </c>
      <c r="J324" t="str">
        <f t="shared" si="25"/>
        <v>High</v>
      </c>
      <c r="K324" t="str">
        <f t="shared" si="26"/>
        <v>Normal</v>
      </c>
      <c r="L324">
        <f t="shared" si="27"/>
        <v>1</v>
      </c>
      <c r="M324">
        <f t="shared" si="28"/>
        <v>1</v>
      </c>
      <c r="N324" s="6">
        <f t="shared" si="29"/>
        <v>45686</v>
      </c>
    </row>
    <row r="325" spans="1:14" x14ac:dyDescent="0.3">
      <c r="A325">
        <v>692</v>
      </c>
      <c r="B325">
        <v>10073</v>
      </c>
      <c r="C325" t="s">
        <v>715</v>
      </c>
      <c r="D325" t="s">
        <v>29</v>
      </c>
      <c r="E325" t="s">
        <v>24</v>
      </c>
      <c r="F325" t="s">
        <v>12</v>
      </c>
      <c r="G325" t="s">
        <v>31</v>
      </c>
      <c r="H325">
        <v>80695.08</v>
      </c>
      <c r="I325">
        <v>0</v>
      </c>
      <c r="J325" t="str">
        <f t="shared" si="25"/>
        <v>High</v>
      </c>
      <c r="K325" t="str">
        <f t="shared" si="26"/>
        <v>Normal</v>
      </c>
      <c r="L325">
        <f t="shared" si="27"/>
        <v>1</v>
      </c>
      <c r="M325">
        <f t="shared" si="28"/>
        <v>1</v>
      </c>
      <c r="N325" s="6">
        <f t="shared" si="29"/>
        <v>45686</v>
      </c>
    </row>
    <row r="326" spans="1:14" x14ac:dyDescent="0.3">
      <c r="A326">
        <v>693</v>
      </c>
      <c r="B326">
        <v>10089</v>
      </c>
      <c r="C326" t="s">
        <v>716</v>
      </c>
      <c r="D326" t="s">
        <v>20</v>
      </c>
      <c r="E326" t="s">
        <v>16</v>
      </c>
      <c r="F326" t="s">
        <v>17</v>
      </c>
      <c r="G326" t="s">
        <v>25</v>
      </c>
      <c r="H326">
        <v>84217.36</v>
      </c>
      <c r="I326">
        <v>0</v>
      </c>
      <c r="J326" t="str">
        <f t="shared" si="25"/>
        <v>High</v>
      </c>
      <c r="K326" t="str">
        <f t="shared" si="26"/>
        <v>Normal</v>
      </c>
      <c r="L326">
        <f t="shared" si="27"/>
        <v>1</v>
      </c>
      <c r="M326">
        <f t="shared" si="28"/>
        <v>1</v>
      </c>
      <c r="N326" s="6">
        <f t="shared" si="29"/>
        <v>45686</v>
      </c>
    </row>
    <row r="327" spans="1:14" x14ac:dyDescent="0.3">
      <c r="A327">
        <v>694</v>
      </c>
      <c r="B327">
        <v>10018</v>
      </c>
      <c r="C327" t="s">
        <v>717</v>
      </c>
      <c r="D327" t="s">
        <v>29</v>
      </c>
      <c r="E327" t="s">
        <v>11</v>
      </c>
      <c r="F327" t="s">
        <v>17</v>
      </c>
      <c r="G327" t="s">
        <v>31</v>
      </c>
      <c r="H327">
        <v>48323.08</v>
      </c>
      <c r="I327">
        <v>0</v>
      </c>
      <c r="J327" t="str">
        <f t="shared" si="25"/>
        <v>High</v>
      </c>
      <c r="K327" t="str">
        <f t="shared" si="26"/>
        <v>Normal</v>
      </c>
      <c r="L327">
        <f t="shared" si="27"/>
        <v>1</v>
      </c>
      <c r="M327">
        <f t="shared" si="28"/>
        <v>1</v>
      </c>
      <c r="N327" s="6">
        <f t="shared" si="29"/>
        <v>45686</v>
      </c>
    </row>
    <row r="328" spans="1:14" x14ac:dyDescent="0.3">
      <c r="A328">
        <v>695</v>
      </c>
      <c r="B328">
        <v>10038</v>
      </c>
      <c r="C328" t="s">
        <v>718</v>
      </c>
      <c r="D328" t="s">
        <v>23</v>
      </c>
      <c r="E328" t="s">
        <v>24</v>
      </c>
      <c r="F328" t="s">
        <v>12</v>
      </c>
      <c r="G328" t="s">
        <v>25</v>
      </c>
      <c r="H328">
        <v>77767.8</v>
      </c>
      <c r="I328">
        <v>0</v>
      </c>
      <c r="J328" t="str">
        <f t="shared" si="25"/>
        <v>High</v>
      </c>
      <c r="K328" t="str">
        <f t="shared" si="26"/>
        <v>Normal</v>
      </c>
      <c r="L328">
        <f t="shared" si="27"/>
        <v>1</v>
      </c>
      <c r="M328">
        <f t="shared" si="28"/>
        <v>1</v>
      </c>
      <c r="N328" s="6">
        <f t="shared" si="29"/>
        <v>45686</v>
      </c>
    </row>
    <row r="329" spans="1:14" x14ac:dyDescent="0.3">
      <c r="A329">
        <v>696</v>
      </c>
      <c r="B329">
        <v>10066</v>
      </c>
      <c r="C329" t="s">
        <v>719</v>
      </c>
      <c r="D329" t="s">
        <v>15</v>
      </c>
      <c r="E329" t="s">
        <v>16</v>
      </c>
      <c r="F329" t="s">
        <v>17</v>
      </c>
      <c r="G329" t="s">
        <v>31</v>
      </c>
      <c r="H329">
        <v>67317.429999999993</v>
      </c>
      <c r="I329">
        <v>0</v>
      </c>
      <c r="J329" t="str">
        <f t="shared" si="25"/>
        <v>High</v>
      </c>
      <c r="K329" t="str">
        <f t="shared" si="26"/>
        <v>Normal</v>
      </c>
      <c r="L329">
        <f t="shared" si="27"/>
        <v>1</v>
      </c>
      <c r="M329">
        <f t="shared" si="28"/>
        <v>1</v>
      </c>
      <c r="N329" s="6">
        <f t="shared" si="29"/>
        <v>45686</v>
      </c>
    </row>
    <row r="330" spans="1:14" x14ac:dyDescent="0.3">
      <c r="A330">
        <v>649</v>
      </c>
      <c r="B330">
        <v>10013</v>
      </c>
      <c r="C330" t="s">
        <v>672</v>
      </c>
      <c r="D330" t="s">
        <v>10</v>
      </c>
      <c r="E330" t="s">
        <v>24</v>
      </c>
      <c r="F330" t="s">
        <v>17</v>
      </c>
      <c r="G330" t="s">
        <v>21</v>
      </c>
      <c r="H330">
        <v>60358.9</v>
      </c>
      <c r="I330">
        <v>0</v>
      </c>
      <c r="J330" t="str">
        <f t="shared" si="25"/>
        <v>High</v>
      </c>
      <c r="K330" t="str">
        <f t="shared" si="26"/>
        <v>Normal</v>
      </c>
      <c r="L330">
        <f t="shared" si="27"/>
        <v>1</v>
      </c>
      <c r="M330">
        <f t="shared" si="28"/>
        <v>1</v>
      </c>
      <c r="N330" s="6">
        <f t="shared" si="29"/>
        <v>45685</v>
      </c>
    </row>
    <row r="331" spans="1:14" x14ac:dyDescent="0.3">
      <c r="A331">
        <v>650</v>
      </c>
      <c r="B331">
        <v>10094</v>
      </c>
      <c r="C331" t="s">
        <v>673</v>
      </c>
      <c r="D331" t="s">
        <v>29</v>
      </c>
      <c r="E331" t="s">
        <v>16</v>
      </c>
      <c r="F331" t="s">
        <v>12</v>
      </c>
      <c r="G331" t="s">
        <v>18</v>
      </c>
      <c r="H331">
        <v>52407.69</v>
      </c>
      <c r="I331">
        <v>0</v>
      </c>
      <c r="J331" t="str">
        <f t="shared" si="25"/>
        <v>High</v>
      </c>
      <c r="K331" t="str">
        <f t="shared" si="26"/>
        <v>Normal</v>
      </c>
      <c r="L331">
        <f t="shared" si="27"/>
        <v>1</v>
      </c>
      <c r="M331">
        <f t="shared" si="28"/>
        <v>1</v>
      </c>
      <c r="N331" s="6">
        <f t="shared" si="29"/>
        <v>45685</v>
      </c>
    </row>
    <row r="332" spans="1:14" x14ac:dyDescent="0.3">
      <c r="A332">
        <v>651</v>
      </c>
      <c r="B332">
        <v>10004</v>
      </c>
      <c r="C332" t="s">
        <v>674</v>
      </c>
      <c r="D332" t="s">
        <v>29</v>
      </c>
      <c r="E332" t="s">
        <v>16</v>
      </c>
      <c r="F332" t="s">
        <v>17</v>
      </c>
      <c r="G332" t="s">
        <v>13</v>
      </c>
      <c r="H332">
        <v>25433.05</v>
      </c>
      <c r="I332">
        <v>0</v>
      </c>
      <c r="J332" t="str">
        <f t="shared" si="25"/>
        <v>High</v>
      </c>
      <c r="K332" t="str">
        <f t="shared" si="26"/>
        <v>Normal</v>
      </c>
      <c r="L332">
        <f t="shared" si="27"/>
        <v>1</v>
      </c>
      <c r="M332">
        <f t="shared" si="28"/>
        <v>1</v>
      </c>
      <c r="N332" s="6">
        <f t="shared" si="29"/>
        <v>45685</v>
      </c>
    </row>
    <row r="333" spans="1:14" x14ac:dyDescent="0.3">
      <c r="A333">
        <v>652</v>
      </c>
      <c r="B333">
        <v>10034</v>
      </c>
      <c r="C333" t="s">
        <v>675</v>
      </c>
      <c r="D333" t="s">
        <v>20</v>
      </c>
      <c r="E333" t="s">
        <v>11</v>
      </c>
      <c r="F333" t="s">
        <v>12</v>
      </c>
      <c r="G333" t="s">
        <v>25</v>
      </c>
      <c r="H333">
        <v>47147.91</v>
      </c>
      <c r="I333">
        <v>0</v>
      </c>
      <c r="J333" t="str">
        <f t="shared" si="25"/>
        <v>High</v>
      </c>
      <c r="K333" t="str">
        <f t="shared" si="26"/>
        <v>Normal</v>
      </c>
      <c r="L333">
        <f t="shared" si="27"/>
        <v>1</v>
      </c>
      <c r="M333">
        <f t="shared" si="28"/>
        <v>1</v>
      </c>
      <c r="N333" s="6">
        <f t="shared" si="29"/>
        <v>45685</v>
      </c>
    </row>
    <row r="334" spans="1:14" x14ac:dyDescent="0.3">
      <c r="A334">
        <v>653</v>
      </c>
      <c r="B334">
        <v>10086</v>
      </c>
      <c r="C334" t="s">
        <v>676</v>
      </c>
      <c r="D334" t="s">
        <v>10</v>
      </c>
      <c r="E334" t="s">
        <v>11</v>
      </c>
      <c r="F334" t="s">
        <v>17</v>
      </c>
      <c r="G334" t="s">
        <v>13</v>
      </c>
      <c r="H334">
        <v>49274.01</v>
      </c>
      <c r="I334">
        <v>0</v>
      </c>
      <c r="J334" t="str">
        <f t="shared" si="25"/>
        <v>High</v>
      </c>
      <c r="K334" t="str">
        <f t="shared" si="26"/>
        <v>Normal</v>
      </c>
      <c r="L334">
        <f t="shared" si="27"/>
        <v>1</v>
      </c>
      <c r="M334">
        <f t="shared" si="28"/>
        <v>1</v>
      </c>
      <c r="N334" s="6">
        <f t="shared" si="29"/>
        <v>45685</v>
      </c>
    </row>
    <row r="335" spans="1:14" x14ac:dyDescent="0.3">
      <c r="A335">
        <v>654</v>
      </c>
      <c r="B335">
        <v>10092</v>
      </c>
      <c r="C335" t="s">
        <v>677</v>
      </c>
      <c r="D335" t="s">
        <v>29</v>
      </c>
      <c r="E335" t="s">
        <v>16</v>
      </c>
      <c r="F335" t="s">
        <v>17</v>
      </c>
      <c r="G335" t="s">
        <v>18</v>
      </c>
      <c r="H335">
        <v>19581.400000000001</v>
      </c>
      <c r="I335">
        <v>0</v>
      </c>
      <c r="J335" t="str">
        <f t="shared" si="25"/>
        <v>High</v>
      </c>
      <c r="K335" t="str">
        <f t="shared" si="26"/>
        <v>Normal</v>
      </c>
      <c r="L335">
        <f t="shared" si="27"/>
        <v>1</v>
      </c>
      <c r="M335">
        <f t="shared" si="28"/>
        <v>1</v>
      </c>
      <c r="N335" s="6">
        <f t="shared" si="29"/>
        <v>45685</v>
      </c>
    </row>
    <row r="336" spans="1:14" x14ac:dyDescent="0.3">
      <c r="A336">
        <v>655</v>
      </c>
      <c r="B336">
        <v>10074</v>
      </c>
      <c r="C336" t="s">
        <v>678</v>
      </c>
      <c r="D336" t="s">
        <v>23</v>
      </c>
      <c r="E336" t="s">
        <v>24</v>
      </c>
      <c r="F336" t="s">
        <v>12</v>
      </c>
      <c r="G336" t="s">
        <v>25</v>
      </c>
      <c r="H336">
        <v>65244.1</v>
      </c>
      <c r="I336">
        <v>0</v>
      </c>
      <c r="J336" t="str">
        <f t="shared" si="25"/>
        <v>High</v>
      </c>
      <c r="K336" t="str">
        <f t="shared" si="26"/>
        <v>Normal</v>
      </c>
      <c r="L336">
        <f t="shared" si="27"/>
        <v>1</v>
      </c>
      <c r="M336">
        <f t="shared" si="28"/>
        <v>1</v>
      </c>
      <c r="N336" s="6">
        <f t="shared" si="29"/>
        <v>45685</v>
      </c>
    </row>
    <row r="337" spans="1:14" x14ac:dyDescent="0.3">
      <c r="A337">
        <v>656</v>
      </c>
      <c r="B337">
        <v>10017</v>
      </c>
      <c r="C337" t="s">
        <v>679</v>
      </c>
      <c r="D337" t="s">
        <v>15</v>
      </c>
      <c r="E337" t="s">
        <v>24</v>
      </c>
      <c r="F337" t="s">
        <v>17</v>
      </c>
      <c r="G337" t="s">
        <v>13</v>
      </c>
      <c r="H337">
        <v>78113.84</v>
      </c>
      <c r="I337">
        <v>0</v>
      </c>
      <c r="J337" t="str">
        <f t="shared" si="25"/>
        <v>High</v>
      </c>
      <c r="K337" t="str">
        <f t="shared" si="26"/>
        <v>Normal</v>
      </c>
      <c r="L337">
        <f t="shared" si="27"/>
        <v>1</v>
      </c>
      <c r="M337">
        <f t="shared" si="28"/>
        <v>1</v>
      </c>
      <c r="N337" s="6">
        <f t="shared" si="29"/>
        <v>45685</v>
      </c>
    </row>
    <row r="338" spans="1:14" x14ac:dyDescent="0.3">
      <c r="A338">
        <v>657</v>
      </c>
      <c r="B338">
        <v>10075</v>
      </c>
      <c r="C338" t="s">
        <v>680</v>
      </c>
      <c r="D338" t="s">
        <v>15</v>
      </c>
      <c r="E338" t="s">
        <v>11</v>
      </c>
      <c r="F338" t="s">
        <v>17</v>
      </c>
      <c r="G338" t="s">
        <v>25</v>
      </c>
      <c r="H338">
        <v>79167.210000000006</v>
      </c>
      <c r="I338">
        <v>1</v>
      </c>
      <c r="J338" t="str">
        <f t="shared" si="25"/>
        <v>High</v>
      </c>
      <c r="K338" t="str">
        <f t="shared" si="26"/>
        <v>High Risk</v>
      </c>
      <c r="L338">
        <f t="shared" si="27"/>
        <v>1</v>
      </c>
      <c r="M338">
        <f t="shared" si="28"/>
        <v>1</v>
      </c>
      <c r="N338" s="6">
        <f t="shared" si="29"/>
        <v>45685</v>
      </c>
    </row>
    <row r="339" spans="1:14" x14ac:dyDescent="0.3">
      <c r="A339">
        <v>658</v>
      </c>
      <c r="B339">
        <v>10008</v>
      </c>
      <c r="C339" t="s">
        <v>681</v>
      </c>
      <c r="D339" t="s">
        <v>15</v>
      </c>
      <c r="E339" t="s">
        <v>11</v>
      </c>
      <c r="F339" t="s">
        <v>12</v>
      </c>
      <c r="G339" t="s">
        <v>21</v>
      </c>
      <c r="H339">
        <v>60286.74</v>
      </c>
      <c r="I339">
        <v>1</v>
      </c>
      <c r="J339" t="str">
        <f t="shared" si="25"/>
        <v>High</v>
      </c>
      <c r="K339" t="str">
        <f t="shared" si="26"/>
        <v>High Risk</v>
      </c>
      <c r="L339">
        <f t="shared" si="27"/>
        <v>1</v>
      </c>
      <c r="M339">
        <f t="shared" si="28"/>
        <v>1</v>
      </c>
      <c r="N339" s="6">
        <f t="shared" si="29"/>
        <v>45685</v>
      </c>
    </row>
    <row r="340" spans="1:14" x14ac:dyDescent="0.3">
      <c r="A340">
        <v>659</v>
      </c>
      <c r="B340">
        <v>10073</v>
      </c>
      <c r="C340" t="s">
        <v>682</v>
      </c>
      <c r="D340" t="s">
        <v>10</v>
      </c>
      <c r="E340" t="s">
        <v>16</v>
      </c>
      <c r="F340" t="s">
        <v>17</v>
      </c>
      <c r="G340" t="s">
        <v>13</v>
      </c>
      <c r="H340">
        <v>51212.69</v>
      </c>
      <c r="I340">
        <v>0</v>
      </c>
      <c r="J340" t="str">
        <f t="shared" si="25"/>
        <v>High</v>
      </c>
      <c r="K340" t="str">
        <f t="shared" si="26"/>
        <v>Normal</v>
      </c>
      <c r="L340">
        <f t="shared" si="27"/>
        <v>1</v>
      </c>
      <c r="M340">
        <f t="shared" si="28"/>
        <v>1</v>
      </c>
      <c r="N340" s="6">
        <f t="shared" si="29"/>
        <v>45685</v>
      </c>
    </row>
    <row r="341" spans="1:14" x14ac:dyDescent="0.3">
      <c r="A341">
        <v>660</v>
      </c>
      <c r="B341">
        <v>10057</v>
      </c>
      <c r="C341" t="s">
        <v>683</v>
      </c>
      <c r="D341" t="s">
        <v>20</v>
      </c>
      <c r="E341" t="s">
        <v>11</v>
      </c>
      <c r="F341" t="s">
        <v>12</v>
      </c>
      <c r="G341" t="s">
        <v>25</v>
      </c>
      <c r="H341">
        <v>6194.61</v>
      </c>
      <c r="I341">
        <v>0</v>
      </c>
      <c r="J341" t="str">
        <f t="shared" si="25"/>
        <v>High</v>
      </c>
      <c r="K341" t="str">
        <f t="shared" si="26"/>
        <v>Normal</v>
      </c>
      <c r="L341">
        <f t="shared" si="27"/>
        <v>1</v>
      </c>
      <c r="M341">
        <f t="shared" si="28"/>
        <v>1</v>
      </c>
      <c r="N341" s="6">
        <f t="shared" si="29"/>
        <v>45685</v>
      </c>
    </row>
    <row r="342" spans="1:14" x14ac:dyDescent="0.3">
      <c r="A342">
        <v>661</v>
      </c>
      <c r="B342">
        <v>10016</v>
      </c>
      <c r="C342" t="s">
        <v>684</v>
      </c>
      <c r="D342" t="s">
        <v>29</v>
      </c>
      <c r="E342" t="s">
        <v>16</v>
      </c>
      <c r="F342" t="s">
        <v>17</v>
      </c>
      <c r="G342" t="s">
        <v>25</v>
      </c>
      <c r="H342">
        <v>28854.35</v>
      </c>
      <c r="I342">
        <v>0</v>
      </c>
      <c r="J342" t="str">
        <f t="shared" si="25"/>
        <v>High</v>
      </c>
      <c r="K342" t="str">
        <f t="shared" si="26"/>
        <v>Normal</v>
      </c>
      <c r="L342">
        <f t="shared" si="27"/>
        <v>1</v>
      </c>
      <c r="M342">
        <f t="shared" si="28"/>
        <v>1</v>
      </c>
      <c r="N342" s="6">
        <f t="shared" si="29"/>
        <v>45685</v>
      </c>
    </row>
    <row r="343" spans="1:14" x14ac:dyDescent="0.3">
      <c r="A343">
        <v>662</v>
      </c>
      <c r="B343">
        <v>10006</v>
      </c>
      <c r="C343" t="s">
        <v>685</v>
      </c>
      <c r="D343" t="s">
        <v>23</v>
      </c>
      <c r="E343" t="s">
        <v>24</v>
      </c>
      <c r="F343" t="s">
        <v>17</v>
      </c>
      <c r="G343" t="s">
        <v>25</v>
      </c>
      <c r="H343">
        <v>9417.82</v>
      </c>
      <c r="I343">
        <v>0</v>
      </c>
      <c r="J343" t="str">
        <f t="shared" si="25"/>
        <v>High</v>
      </c>
      <c r="K343" t="str">
        <f t="shared" si="26"/>
        <v>Normal</v>
      </c>
      <c r="L343">
        <f t="shared" si="27"/>
        <v>1</v>
      </c>
      <c r="M343">
        <f t="shared" si="28"/>
        <v>1</v>
      </c>
      <c r="N343" s="6">
        <f t="shared" si="29"/>
        <v>45685</v>
      </c>
    </row>
    <row r="344" spans="1:14" x14ac:dyDescent="0.3">
      <c r="A344">
        <v>663</v>
      </c>
      <c r="B344">
        <v>10045</v>
      </c>
      <c r="C344" t="s">
        <v>686</v>
      </c>
      <c r="D344" t="s">
        <v>23</v>
      </c>
      <c r="E344" t="s">
        <v>24</v>
      </c>
      <c r="F344" t="s">
        <v>17</v>
      </c>
      <c r="G344" t="s">
        <v>13</v>
      </c>
      <c r="H344">
        <v>96385.93</v>
      </c>
      <c r="I344">
        <v>0</v>
      </c>
      <c r="J344" t="str">
        <f t="shared" si="25"/>
        <v>High</v>
      </c>
      <c r="K344" t="str">
        <f t="shared" si="26"/>
        <v>Normal</v>
      </c>
      <c r="L344">
        <f t="shared" si="27"/>
        <v>1</v>
      </c>
      <c r="M344">
        <f t="shared" si="28"/>
        <v>1</v>
      </c>
      <c r="N344" s="6">
        <f t="shared" si="29"/>
        <v>45685</v>
      </c>
    </row>
    <row r="345" spans="1:14" x14ac:dyDescent="0.3">
      <c r="A345">
        <v>664</v>
      </c>
      <c r="B345">
        <v>10012</v>
      </c>
      <c r="C345" t="s">
        <v>687</v>
      </c>
      <c r="D345" t="s">
        <v>10</v>
      </c>
      <c r="E345" t="s">
        <v>16</v>
      </c>
      <c r="F345" t="s">
        <v>17</v>
      </c>
      <c r="G345" t="s">
        <v>31</v>
      </c>
      <c r="H345">
        <v>13594.51</v>
      </c>
      <c r="I345">
        <v>0</v>
      </c>
      <c r="J345" t="str">
        <f t="shared" si="25"/>
        <v>High</v>
      </c>
      <c r="K345" t="str">
        <f t="shared" si="26"/>
        <v>Normal</v>
      </c>
      <c r="L345">
        <f t="shared" si="27"/>
        <v>1</v>
      </c>
      <c r="M345">
        <f t="shared" si="28"/>
        <v>1</v>
      </c>
      <c r="N345" s="6">
        <f t="shared" si="29"/>
        <v>45685</v>
      </c>
    </row>
    <row r="346" spans="1:14" x14ac:dyDescent="0.3">
      <c r="A346">
        <v>665</v>
      </c>
      <c r="B346">
        <v>10039</v>
      </c>
      <c r="C346" t="s">
        <v>688</v>
      </c>
      <c r="D346" t="s">
        <v>15</v>
      </c>
      <c r="E346" t="s">
        <v>11</v>
      </c>
      <c r="F346" t="s">
        <v>12</v>
      </c>
      <c r="G346" t="s">
        <v>13</v>
      </c>
      <c r="H346">
        <v>15262.36</v>
      </c>
      <c r="I346">
        <v>0</v>
      </c>
      <c r="J346" t="str">
        <f t="shared" si="25"/>
        <v>High</v>
      </c>
      <c r="K346" t="str">
        <f t="shared" si="26"/>
        <v>Normal</v>
      </c>
      <c r="L346">
        <f t="shared" si="27"/>
        <v>1</v>
      </c>
      <c r="M346">
        <f t="shared" si="28"/>
        <v>1</v>
      </c>
      <c r="N346" s="6">
        <f t="shared" si="29"/>
        <v>45685</v>
      </c>
    </row>
    <row r="347" spans="1:14" x14ac:dyDescent="0.3">
      <c r="A347">
        <v>666</v>
      </c>
      <c r="B347">
        <v>10041</v>
      </c>
      <c r="C347" t="s">
        <v>689</v>
      </c>
      <c r="D347" t="s">
        <v>10</v>
      </c>
      <c r="E347" t="s">
        <v>24</v>
      </c>
      <c r="F347" t="s">
        <v>17</v>
      </c>
      <c r="G347" t="s">
        <v>18</v>
      </c>
      <c r="H347">
        <v>88968.7</v>
      </c>
      <c r="I347">
        <v>0</v>
      </c>
      <c r="J347" t="str">
        <f t="shared" si="25"/>
        <v>High</v>
      </c>
      <c r="K347" t="str">
        <f t="shared" si="26"/>
        <v>Normal</v>
      </c>
      <c r="L347">
        <f t="shared" si="27"/>
        <v>1</v>
      </c>
      <c r="M347">
        <f t="shared" si="28"/>
        <v>1</v>
      </c>
      <c r="N347" s="6">
        <f t="shared" si="29"/>
        <v>45685</v>
      </c>
    </row>
    <row r="348" spans="1:14" x14ac:dyDescent="0.3">
      <c r="A348">
        <v>667</v>
      </c>
      <c r="B348">
        <v>10008</v>
      </c>
      <c r="C348" t="s">
        <v>690</v>
      </c>
      <c r="D348" t="s">
        <v>20</v>
      </c>
      <c r="E348" t="s">
        <v>11</v>
      </c>
      <c r="F348" t="s">
        <v>12</v>
      </c>
      <c r="G348" t="s">
        <v>13</v>
      </c>
      <c r="H348">
        <v>94398.44</v>
      </c>
      <c r="I348">
        <v>1</v>
      </c>
      <c r="J348" t="str">
        <f t="shared" si="25"/>
        <v>High</v>
      </c>
      <c r="K348" t="str">
        <f t="shared" si="26"/>
        <v>High Risk</v>
      </c>
      <c r="L348">
        <f t="shared" si="27"/>
        <v>1</v>
      </c>
      <c r="M348">
        <f t="shared" si="28"/>
        <v>1</v>
      </c>
      <c r="N348" s="6">
        <f t="shared" si="29"/>
        <v>45685</v>
      </c>
    </row>
    <row r="349" spans="1:14" x14ac:dyDescent="0.3">
      <c r="A349">
        <v>668</v>
      </c>
      <c r="B349">
        <v>10049</v>
      </c>
      <c r="C349" t="s">
        <v>691</v>
      </c>
      <c r="D349" t="s">
        <v>20</v>
      </c>
      <c r="E349" t="s">
        <v>24</v>
      </c>
      <c r="F349" t="s">
        <v>17</v>
      </c>
      <c r="G349" t="s">
        <v>25</v>
      </c>
      <c r="H349">
        <v>76606.320000000007</v>
      </c>
      <c r="I349">
        <v>0</v>
      </c>
      <c r="J349" t="str">
        <f t="shared" si="25"/>
        <v>High</v>
      </c>
      <c r="K349" t="str">
        <f t="shared" si="26"/>
        <v>Normal</v>
      </c>
      <c r="L349">
        <f t="shared" si="27"/>
        <v>1</v>
      </c>
      <c r="M349">
        <f t="shared" si="28"/>
        <v>1</v>
      </c>
      <c r="N349" s="6">
        <f t="shared" si="29"/>
        <v>45685</v>
      </c>
    </row>
    <row r="350" spans="1:14" x14ac:dyDescent="0.3">
      <c r="A350">
        <v>669</v>
      </c>
      <c r="B350">
        <v>10026</v>
      </c>
      <c r="C350" t="s">
        <v>692</v>
      </c>
      <c r="D350" t="s">
        <v>29</v>
      </c>
      <c r="E350" t="s">
        <v>16</v>
      </c>
      <c r="F350" t="s">
        <v>17</v>
      </c>
      <c r="G350" t="s">
        <v>21</v>
      </c>
      <c r="H350">
        <v>639.95000000000005</v>
      </c>
      <c r="I350">
        <v>0</v>
      </c>
      <c r="J350" t="str">
        <f t="shared" si="25"/>
        <v>High</v>
      </c>
      <c r="K350" t="str">
        <f t="shared" si="26"/>
        <v>Normal</v>
      </c>
      <c r="L350">
        <f t="shared" si="27"/>
        <v>1</v>
      </c>
      <c r="M350">
        <f t="shared" si="28"/>
        <v>1</v>
      </c>
      <c r="N350" s="6">
        <f t="shared" si="29"/>
        <v>45685</v>
      </c>
    </row>
    <row r="351" spans="1:14" x14ac:dyDescent="0.3">
      <c r="A351">
        <v>670</v>
      </c>
      <c r="B351">
        <v>10065</v>
      </c>
      <c r="C351" t="s">
        <v>693</v>
      </c>
      <c r="D351" t="s">
        <v>29</v>
      </c>
      <c r="E351" t="s">
        <v>16</v>
      </c>
      <c r="F351" t="s">
        <v>17</v>
      </c>
      <c r="G351" t="s">
        <v>13</v>
      </c>
      <c r="H351">
        <v>234.49</v>
      </c>
      <c r="I351">
        <v>0</v>
      </c>
      <c r="J351" t="str">
        <f t="shared" si="25"/>
        <v>High</v>
      </c>
      <c r="K351" t="str">
        <f t="shared" si="26"/>
        <v>Normal</v>
      </c>
      <c r="L351">
        <f t="shared" si="27"/>
        <v>1</v>
      </c>
      <c r="M351">
        <f t="shared" si="28"/>
        <v>1</v>
      </c>
      <c r="N351" s="6">
        <f t="shared" si="29"/>
        <v>45685</v>
      </c>
    </row>
    <row r="352" spans="1:14" x14ac:dyDescent="0.3">
      <c r="A352">
        <v>671</v>
      </c>
      <c r="B352">
        <v>10004</v>
      </c>
      <c r="C352" t="s">
        <v>694</v>
      </c>
      <c r="D352" t="s">
        <v>20</v>
      </c>
      <c r="E352" t="s">
        <v>16</v>
      </c>
      <c r="F352" t="s">
        <v>17</v>
      </c>
      <c r="G352" t="s">
        <v>13</v>
      </c>
      <c r="H352">
        <v>37872.269999999997</v>
      </c>
      <c r="I352">
        <v>0</v>
      </c>
      <c r="J352" t="str">
        <f t="shared" si="25"/>
        <v>High</v>
      </c>
      <c r="K352" t="str">
        <f t="shared" si="26"/>
        <v>Normal</v>
      </c>
      <c r="L352">
        <f t="shared" si="27"/>
        <v>1</v>
      </c>
      <c r="M352">
        <f t="shared" si="28"/>
        <v>1</v>
      </c>
      <c r="N352" s="6">
        <f t="shared" si="29"/>
        <v>45685</v>
      </c>
    </row>
    <row r="353" spans="1:14" x14ac:dyDescent="0.3">
      <c r="A353">
        <v>672</v>
      </c>
      <c r="B353">
        <v>10028</v>
      </c>
      <c r="C353" t="s">
        <v>695</v>
      </c>
      <c r="D353" t="s">
        <v>20</v>
      </c>
      <c r="E353" t="s">
        <v>24</v>
      </c>
      <c r="F353" t="s">
        <v>12</v>
      </c>
      <c r="G353" t="s">
        <v>25</v>
      </c>
      <c r="H353">
        <v>14425.2</v>
      </c>
      <c r="I353">
        <v>0</v>
      </c>
      <c r="J353" t="str">
        <f t="shared" si="25"/>
        <v>High</v>
      </c>
      <c r="K353" t="str">
        <f t="shared" si="26"/>
        <v>Normal</v>
      </c>
      <c r="L353">
        <f t="shared" si="27"/>
        <v>1</v>
      </c>
      <c r="M353">
        <f t="shared" si="28"/>
        <v>1</v>
      </c>
      <c r="N353" s="6">
        <f t="shared" si="29"/>
        <v>45685</v>
      </c>
    </row>
    <row r="354" spans="1:14" x14ac:dyDescent="0.3">
      <c r="A354">
        <v>625</v>
      </c>
      <c r="B354">
        <v>10008</v>
      </c>
      <c r="C354" t="s">
        <v>648</v>
      </c>
      <c r="D354" t="s">
        <v>23</v>
      </c>
      <c r="E354" t="s">
        <v>11</v>
      </c>
      <c r="F354" t="s">
        <v>12</v>
      </c>
      <c r="G354" t="s">
        <v>13</v>
      </c>
      <c r="H354">
        <v>3590.43</v>
      </c>
      <c r="I354">
        <v>0</v>
      </c>
      <c r="J354" t="str">
        <f t="shared" si="25"/>
        <v>High</v>
      </c>
      <c r="K354" t="str">
        <f t="shared" si="26"/>
        <v>Normal</v>
      </c>
      <c r="L354">
        <f t="shared" si="27"/>
        <v>1</v>
      </c>
      <c r="M354">
        <f t="shared" si="28"/>
        <v>1</v>
      </c>
      <c r="N354" s="6">
        <f t="shared" si="29"/>
        <v>45684</v>
      </c>
    </row>
    <row r="355" spans="1:14" x14ac:dyDescent="0.3">
      <c r="A355">
        <v>626</v>
      </c>
      <c r="B355">
        <v>10070</v>
      </c>
      <c r="C355" t="s">
        <v>649</v>
      </c>
      <c r="D355" t="s">
        <v>23</v>
      </c>
      <c r="E355" t="s">
        <v>24</v>
      </c>
      <c r="F355" t="s">
        <v>12</v>
      </c>
      <c r="G355" t="s">
        <v>18</v>
      </c>
      <c r="H355">
        <v>98976.67</v>
      </c>
      <c r="I355">
        <v>0</v>
      </c>
      <c r="J355" t="str">
        <f t="shared" si="25"/>
        <v>High</v>
      </c>
      <c r="K355" t="str">
        <f t="shared" si="26"/>
        <v>Normal</v>
      </c>
      <c r="L355">
        <f t="shared" si="27"/>
        <v>1</v>
      </c>
      <c r="M355">
        <f t="shared" si="28"/>
        <v>1</v>
      </c>
      <c r="N355" s="6">
        <f t="shared" si="29"/>
        <v>45684</v>
      </c>
    </row>
    <row r="356" spans="1:14" x14ac:dyDescent="0.3">
      <c r="A356">
        <v>627</v>
      </c>
      <c r="B356">
        <v>10027</v>
      </c>
      <c r="C356" t="s">
        <v>650</v>
      </c>
      <c r="D356" t="s">
        <v>15</v>
      </c>
      <c r="E356" t="s">
        <v>24</v>
      </c>
      <c r="F356" t="s">
        <v>17</v>
      </c>
      <c r="G356" t="s">
        <v>21</v>
      </c>
      <c r="H356">
        <v>3099.13</v>
      </c>
      <c r="I356">
        <v>0</v>
      </c>
      <c r="J356" t="str">
        <f t="shared" si="25"/>
        <v>High</v>
      </c>
      <c r="K356" t="str">
        <f t="shared" si="26"/>
        <v>Normal</v>
      </c>
      <c r="L356">
        <f t="shared" si="27"/>
        <v>1</v>
      </c>
      <c r="M356">
        <f t="shared" si="28"/>
        <v>1</v>
      </c>
      <c r="N356" s="6">
        <f t="shared" si="29"/>
        <v>45684</v>
      </c>
    </row>
    <row r="357" spans="1:14" x14ac:dyDescent="0.3">
      <c r="A357">
        <v>628</v>
      </c>
      <c r="B357">
        <v>10077</v>
      </c>
      <c r="C357" t="s">
        <v>651</v>
      </c>
      <c r="D357" t="s">
        <v>29</v>
      </c>
      <c r="E357" t="s">
        <v>11</v>
      </c>
      <c r="F357" t="s">
        <v>17</v>
      </c>
      <c r="G357" t="s">
        <v>31</v>
      </c>
      <c r="H357">
        <v>44508.37</v>
      </c>
      <c r="I357">
        <v>0</v>
      </c>
      <c r="J357" t="str">
        <f t="shared" si="25"/>
        <v>High</v>
      </c>
      <c r="K357" t="str">
        <f t="shared" si="26"/>
        <v>Normal</v>
      </c>
      <c r="L357">
        <f t="shared" si="27"/>
        <v>1</v>
      </c>
      <c r="M357">
        <f t="shared" si="28"/>
        <v>1</v>
      </c>
      <c r="N357" s="6">
        <f t="shared" si="29"/>
        <v>45684</v>
      </c>
    </row>
    <row r="358" spans="1:14" x14ac:dyDescent="0.3">
      <c r="A358">
        <v>629</v>
      </c>
      <c r="B358">
        <v>10094</v>
      </c>
      <c r="C358" t="s">
        <v>652</v>
      </c>
      <c r="D358" t="s">
        <v>23</v>
      </c>
      <c r="E358" t="s">
        <v>11</v>
      </c>
      <c r="F358" t="s">
        <v>17</v>
      </c>
      <c r="G358" t="s">
        <v>31</v>
      </c>
      <c r="H358">
        <v>50511.44</v>
      </c>
      <c r="I358">
        <v>1</v>
      </c>
      <c r="J358" t="str">
        <f t="shared" si="25"/>
        <v>High</v>
      </c>
      <c r="K358" t="str">
        <f t="shared" si="26"/>
        <v>High Risk</v>
      </c>
      <c r="L358">
        <f t="shared" si="27"/>
        <v>1</v>
      </c>
      <c r="M358">
        <f t="shared" si="28"/>
        <v>1</v>
      </c>
      <c r="N358" s="6">
        <f t="shared" si="29"/>
        <v>45684</v>
      </c>
    </row>
    <row r="359" spans="1:14" x14ac:dyDescent="0.3">
      <c r="A359">
        <v>630</v>
      </c>
      <c r="B359">
        <v>10051</v>
      </c>
      <c r="C359" t="s">
        <v>653</v>
      </c>
      <c r="D359" t="s">
        <v>29</v>
      </c>
      <c r="E359" t="s">
        <v>16</v>
      </c>
      <c r="F359" t="s">
        <v>17</v>
      </c>
      <c r="G359" t="s">
        <v>18</v>
      </c>
      <c r="H359">
        <v>11816.29</v>
      </c>
      <c r="I359">
        <v>0</v>
      </c>
      <c r="J359" t="str">
        <f t="shared" si="25"/>
        <v>High</v>
      </c>
      <c r="K359" t="str">
        <f t="shared" si="26"/>
        <v>Normal</v>
      </c>
      <c r="L359">
        <f t="shared" si="27"/>
        <v>1</v>
      </c>
      <c r="M359">
        <f t="shared" si="28"/>
        <v>1</v>
      </c>
      <c r="N359" s="6">
        <f t="shared" si="29"/>
        <v>45684</v>
      </c>
    </row>
    <row r="360" spans="1:14" x14ac:dyDescent="0.3">
      <c r="A360">
        <v>631</v>
      </c>
      <c r="B360">
        <v>10082</v>
      </c>
      <c r="C360" t="s">
        <v>654</v>
      </c>
      <c r="D360" t="s">
        <v>15</v>
      </c>
      <c r="E360" t="s">
        <v>16</v>
      </c>
      <c r="F360" t="s">
        <v>17</v>
      </c>
      <c r="G360" t="s">
        <v>13</v>
      </c>
      <c r="H360">
        <v>16989.27</v>
      </c>
      <c r="I360">
        <v>0</v>
      </c>
      <c r="J360" t="str">
        <f t="shared" si="25"/>
        <v>High</v>
      </c>
      <c r="K360" t="str">
        <f t="shared" si="26"/>
        <v>Normal</v>
      </c>
      <c r="L360">
        <f t="shared" si="27"/>
        <v>1</v>
      </c>
      <c r="M360">
        <f t="shared" si="28"/>
        <v>1</v>
      </c>
      <c r="N360" s="6">
        <f t="shared" si="29"/>
        <v>45684</v>
      </c>
    </row>
    <row r="361" spans="1:14" x14ac:dyDescent="0.3">
      <c r="A361">
        <v>632</v>
      </c>
      <c r="B361">
        <v>10015</v>
      </c>
      <c r="C361" t="s">
        <v>655</v>
      </c>
      <c r="D361" t="s">
        <v>29</v>
      </c>
      <c r="E361" t="s">
        <v>24</v>
      </c>
      <c r="F361" t="s">
        <v>12</v>
      </c>
      <c r="G361" t="s">
        <v>21</v>
      </c>
      <c r="H361">
        <v>35245.32</v>
      </c>
      <c r="I361">
        <v>0</v>
      </c>
      <c r="J361" t="str">
        <f t="shared" si="25"/>
        <v>High</v>
      </c>
      <c r="K361" t="str">
        <f t="shared" si="26"/>
        <v>Normal</v>
      </c>
      <c r="L361">
        <f t="shared" si="27"/>
        <v>1</v>
      </c>
      <c r="M361">
        <f t="shared" si="28"/>
        <v>1</v>
      </c>
      <c r="N361" s="6">
        <f t="shared" si="29"/>
        <v>45684</v>
      </c>
    </row>
    <row r="362" spans="1:14" x14ac:dyDescent="0.3">
      <c r="A362">
        <v>633</v>
      </c>
      <c r="B362">
        <v>10068</v>
      </c>
      <c r="C362" t="s">
        <v>656</v>
      </c>
      <c r="D362" t="s">
        <v>10</v>
      </c>
      <c r="E362" t="s">
        <v>16</v>
      </c>
      <c r="F362" t="s">
        <v>17</v>
      </c>
      <c r="G362" t="s">
        <v>13</v>
      </c>
      <c r="H362">
        <v>76191.42</v>
      </c>
      <c r="I362">
        <v>0</v>
      </c>
      <c r="J362" t="str">
        <f t="shared" si="25"/>
        <v>High</v>
      </c>
      <c r="K362" t="str">
        <f t="shared" si="26"/>
        <v>Normal</v>
      </c>
      <c r="L362">
        <f t="shared" si="27"/>
        <v>1</v>
      </c>
      <c r="M362">
        <f t="shared" si="28"/>
        <v>1</v>
      </c>
      <c r="N362" s="6">
        <f t="shared" si="29"/>
        <v>45684</v>
      </c>
    </row>
    <row r="363" spans="1:14" x14ac:dyDescent="0.3">
      <c r="A363">
        <v>634</v>
      </c>
      <c r="B363">
        <v>10098</v>
      </c>
      <c r="C363" t="s">
        <v>657</v>
      </c>
      <c r="D363" t="s">
        <v>20</v>
      </c>
      <c r="E363" t="s">
        <v>16</v>
      </c>
      <c r="F363" t="s">
        <v>12</v>
      </c>
      <c r="G363" t="s">
        <v>25</v>
      </c>
      <c r="H363">
        <v>50757.53</v>
      </c>
      <c r="I363">
        <v>0</v>
      </c>
      <c r="J363" t="str">
        <f t="shared" si="25"/>
        <v>High</v>
      </c>
      <c r="K363" t="str">
        <f t="shared" si="26"/>
        <v>Normal</v>
      </c>
      <c r="L363">
        <f t="shared" si="27"/>
        <v>1</v>
      </c>
      <c r="M363">
        <f t="shared" si="28"/>
        <v>1</v>
      </c>
      <c r="N363" s="6">
        <f t="shared" si="29"/>
        <v>45684</v>
      </c>
    </row>
    <row r="364" spans="1:14" x14ac:dyDescent="0.3">
      <c r="A364">
        <v>635</v>
      </c>
      <c r="B364">
        <v>10011</v>
      </c>
      <c r="C364" t="s">
        <v>658</v>
      </c>
      <c r="D364" t="s">
        <v>23</v>
      </c>
      <c r="E364" t="s">
        <v>16</v>
      </c>
      <c r="F364" t="s">
        <v>17</v>
      </c>
      <c r="G364" t="s">
        <v>13</v>
      </c>
      <c r="H364">
        <v>63826.400000000001</v>
      </c>
      <c r="I364">
        <v>0</v>
      </c>
      <c r="J364" t="str">
        <f t="shared" si="25"/>
        <v>High</v>
      </c>
      <c r="K364" t="str">
        <f t="shared" si="26"/>
        <v>Normal</v>
      </c>
      <c r="L364">
        <f t="shared" si="27"/>
        <v>1</v>
      </c>
      <c r="M364">
        <f t="shared" si="28"/>
        <v>1</v>
      </c>
      <c r="N364" s="6">
        <f t="shared" si="29"/>
        <v>45684</v>
      </c>
    </row>
    <row r="365" spans="1:14" x14ac:dyDescent="0.3">
      <c r="A365">
        <v>636</v>
      </c>
      <c r="B365">
        <v>10024</v>
      </c>
      <c r="C365" t="s">
        <v>659</v>
      </c>
      <c r="D365" t="s">
        <v>20</v>
      </c>
      <c r="E365" t="s">
        <v>16</v>
      </c>
      <c r="F365" t="s">
        <v>17</v>
      </c>
      <c r="G365" t="s">
        <v>31</v>
      </c>
      <c r="H365">
        <v>98518.94</v>
      </c>
      <c r="I365">
        <v>0</v>
      </c>
      <c r="J365" t="str">
        <f t="shared" si="25"/>
        <v>High</v>
      </c>
      <c r="K365" t="str">
        <f t="shared" si="26"/>
        <v>Normal</v>
      </c>
      <c r="L365">
        <f t="shared" si="27"/>
        <v>1</v>
      </c>
      <c r="M365">
        <f t="shared" si="28"/>
        <v>1</v>
      </c>
      <c r="N365" s="6">
        <f t="shared" si="29"/>
        <v>45684</v>
      </c>
    </row>
    <row r="366" spans="1:14" x14ac:dyDescent="0.3">
      <c r="A366">
        <v>637</v>
      </c>
      <c r="B366">
        <v>10051</v>
      </c>
      <c r="C366" t="s">
        <v>660</v>
      </c>
      <c r="D366" t="s">
        <v>29</v>
      </c>
      <c r="E366" t="s">
        <v>11</v>
      </c>
      <c r="F366" t="s">
        <v>17</v>
      </c>
      <c r="G366" t="s">
        <v>21</v>
      </c>
      <c r="H366">
        <v>76823.740000000005</v>
      </c>
      <c r="I366">
        <v>1</v>
      </c>
      <c r="J366" t="str">
        <f t="shared" si="25"/>
        <v>High</v>
      </c>
      <c r="K366" t="str">
        <f t="shared" si="26"/>
        <v>High Risk</v>
      </c>
      <c r="L366">
        <f t="shared" si="27"/>
        <v>1</v>
      </c>
      <c r="M366">
        <f t="shared" si="28"/>
        <v>1</v>
      </c>
      <c r="N366" s="6">
        <f t="shared" si="29"/>
        <v>45684</v>
      </c>
    </row>
    <row r="367" spans="1:14" x14ac:dyDescent="0.3">
      <c r="A367">
        <v>638</v>
      </c>
      <c r="B367">
        <v>10084</v>
      </c>
      <c r="C367" t="s">
        <v>661</v>
      </c>
      <c r="D367" t="s">
        <v>23</v>
      </c>
      <c r="E367" t="s">
        <v>24</v>
      </c>
      <c r="F367" t="s">
        <v>17</v>
      </c>
      <c r="G367" t="s">
        <v>13</v>
      </c>
      <c r="H367">
        <v>43492.71</v>
      </c>
      <c r="I367">
        <v>0</v>
      </c>
      <c r="J367" t="str">
        <f t="shared" si="25"/>
        <v>High</v>
      </c>
      <c r="K367" t="str">
        <f t="shared" si="26"/>
        <v>Normal</v>
      </c>
      <c r="L367">
        <f t="shared" si="27"/>
        <v>1</v>
      </c>
      <c r="M367">
        <f t="shared" si="28"/>
        <v>1</v>
      </c>
      <c r="N367" s="6">
        <f t="shared" si="29"/>
        <v>45684</v>
      </c>
    </row>
    <row r="368" spans="1:14" x14ac:dyDescent="0.3">
      <c r="A368">
        <v>639</v>
      </c>
      <c r="B368">
        <v>10099</v>
      </c>
      <c r="C368" t="s">
        <v>662</v>
      </c>
      <c r="D368" t="s">
        <v>29</v>
      </c>
      <c r="E368" t="s">
        <v>16</v>
      </c>
      <c r="F368" t="s">
        <v>17</v>
      </c>
      <c r="G368" t="s">
        <v>21</v>
      </c>
      <c r="H368">
        <v>44699.55</v>
      </c>
      <c r="I368">
        <v>0</v>
      </c>
      <c r="J368" t="str">
        <f t="shared" si="25"/>
        <v>High</v>
      </c>
      <c r="K368" t="str">
        <f t="shared" si="26"/>
        <v>Normal</v>
      </c>
      <c r="L368">
        <f t="shared" si="27"/>
        <v>1</v>
      </c>
      <c r="M368">
        <f t="shared" si="28"/>
        <v>1</v>
      </c>
      <c r="N368" s="6">
        <f t="shared" si="29"/>
        <v>45684</v>
      </c>
    </row>
    <row r="369" spans="1:14" x14ac:dyDescent="0.3">
      <c r="A369">
        <v>640</v>
      </c>
      <c r="B369">
        <v>10052</v>
      </c>
      <c r="C369" t="s">
        <v>663</v>
      </c>
      <c r="D369" t="s">
        <v>10</v>
      </c>
      <c r="E369" t="s">
        <v>11</v>
      </c>
      <c r="F369" t="s">
        <v>12</v>
      </c>
      <c r="G369" t="s">
        <v>21</v>
      </c>
      <c r="H369">
        <v>61915.33</v>
      </c>
      <c r="I369">
        <v>1</v>
      </c>
      <c r="J369" t="str">
        <f t="shared" si="25"/>
        <v>High</v>
      </c>
      <c r="K369" t="str">
        <f t="shared" si="26"/>
        <v>High Risk</v>
      </c>
      <c r="L369">
        <f t="shared" si="27"/>
        <v>1</v>
      </c>
      <c r="M369">
        <f t="shared" si="28"/>
        <v>1</v>
      </c>
      <c r="N369" s="6">
        <f t="shared" si="29"/>
        <v>45684</v>
      </c>
    </row>
    <row r="370" spans="1:14" x14ac:dyDescent="0.3">
      <c r="A370">
        <v>641</v>
      </c>
      <c r="B370">
        <v>10022</v>
      </c>
      <c r="C370" t="s">
        <v>664</v>
      </c>
      <c r="D370" t="s">
        <v>15</v>
      </c>
      <c r="E370" t="s">
        <v>11</v>
      </c>
      <c r="F370" t="s">
        <v>12</v>
      </c>
      <c r="G370" t="s">
        <v>25</v>
      </c>
      <c r="H370">
        <v>66569.98</v>
      </c>
      <c r="I370">
        <v>1</v>
      </c>
      <c r="J370" t="str">
        <f t="shared" si="25"/>
        <v>High</v>
      </c>
      <c r="K370" t="str">
        <f t="shared" si="26"/>
        <v>High Risk</v>
      </c>
      <c r="L370">
        <f t="shared" si="27"/>
        <v>1</v>
      </c>
      <c r="M370">
        <f t="shared" si="28"/>
        <v>1</v>
      </c>
      <c r="N370" s="6">
        <f t="shared" si="29"/>
        <v>45684</v>
      </c>
    </row>
    <row r="371" spans="1:14" x14ac:dyDescent="0.3">
      <c r="A371">
        <v>642</v>
      </c>
      <c r="B371">
        <v>10015</v>
      </c>
      <c r="C371" t="s">
        <v>665</v>
      </c>
      <c r="D371" t="s">
        <v>23</v>
      </c>
      <c r="E371" t="s">
        <v>11</v>
      </c>
      <c r="F371" t="s">
        <v>12</v>
      </c>
      <c r="G371" t="s">
        <v>25</v>
      </c>
      <c r="H371">
        <v>50121.02</v>
      </c>
      <c r="I371">
        <v>1</v>
      </c>
      <c r="J371" t="str">
        <f t="shared" si="25"/>
        <v>High</v>
      </c>
      <c r="K371" t="str">
        <f t="shared" si="26"/>
        <v>High Risk</v>
      </c>
      <c r="L371">
        <f t="shared" si="27"/>
        <v>1</v>
      </c>
      <c r="M371">
        <f t="shared" si="28"/>
        <v>1</v>
      </c>
      <c r="N371" s="6">
        <f t="shared" si="29"/>
        <v>45684</v>
      </c>
    </row>
    <row r="372" spans="1:14" x14ac:dyDescent="0.3">
      <c r="A372">
        <v>643</v>
      </c>
      <c r="B372">
        <v>10056</v>
      </c>
      <c r="C372" t="s">
        <v>666</v>
      </c>
      <c r="D372" t="s">
        <v>10</v>
      </c>
      <c r="E372" t="s">
        <v>16</v>
      </c>
      <c r="F372" t="s">
        <v>17</v>
      </c>
      <c r="G372" t="s">
        <v>31</v>
      </c>
      <c r="H372">
        <v>64521.64</v>
      </c>
      <c r="I372">
        <v>0</v>
      </c>
      <c r="J372" t="str">
        <f t="shared" si="25"/>
        <v>High</v>
      </c>
      <c r="K372" t="str">
        <f t="shared" si="26"/>
        <v>Normal</v>
      </c>
      <c r="L372">
        <f t="shared" si="27"/>
        <v>1</v>
      </c>
      <c r="M372">
        <f t="shared" si="28"/>
        <v>1</v>
      </c>
      <c r="N372" s="6">
        <f t="shared" si="29"/>
        <v>45684</v>
      </c>
    </row>
    <row r="373" spans="1:14" x14ac:dyDescent="0.3">
      <c r="A373">
        <v>644</v>
      </c>
      <c r="B373">
        <v>10038</v>
      </c>
      <c r="C373" t="s">
        <v>667</v>
      </c>
      <c r="D373" t="s">
        <v>10</v>
      </c>
      <c r="E373" t="s">
        <v>16</v>
      </c>
      <c r="F373" t="s">
        <v>17</v>
      </c>
      <c r="G373" t="s">
        <v>18</v>
      </c>
      <c r="H373">
        <v>2450.9</v>
      </c>
      <c r="I373">
        <v>0</v>
      </c>
      <c r="J373" t="str">
        <f t="shared" si="25"/>
        <v>High</v>
      </c>
      <c r="K373" t="str">
        <f t="shared" si="26"/>
        <v>Normal</v>
      </c>
      <c r="L373">
        <f t="shared" si="27"/>
        <v>1</v>
      </c>
      <c r="M373">
        <f t="shared" si="28"/>
        <v>1</v>
      </c>
      <c r="N373" s="6">
        <f t="shared" si="29"/>
        <v>45684</v>
      </c>
    </row>
    <row r="374" spans="1:14" x14ac:dyDescent="0.3">
      <c r="A374">
        <v>645</v>
      </c>
      <c r="B374">
        <v>10052</v>
      </c>
      <c r="C374" t="s">
        <v>668</v>
      </c>
      <c r="D374" t="s">
        <v>23</v>
      </c>
      <c r="E374" t="s">
        <v>24</v>
      </c>
      <c r="F374" t="s">
        <v>12</v>
      </c>
      <c r="G374" t="s">
        <v>21</v>
      </c>
      <c r="H374">
        <v>43019.32</v>
      </c>
      <c r="I374">
        <v>0</v>
      </c>
      <c r="J374" t="str">
        <f t="shared" si="25"/>
        <v>High</v>
      </c>
      <c r="K374" t="str">
        <f t="shared" si="26"/>
        <v>Normal</v>
      </c>
      <c r="L374">
        <f t="shared" si="27"/>
        <v>1</v>
      </c>
      <c r="M374">
        <f t="shared" si="28"/>
        <v>1</v>
      </c>
      <c r="N374" s="6">
        <f t="shared" si="29"/>
        <v>45684</v>
      </c>
    </row>
    <row r="375" spans="1:14" x14ac:dyDescent="0.3">
      <c r="A375">
        <v>646</v>
      </c>
      <c r="B375">
        <v>10041</v>
      </c>
      <c r="C375" t="s">
        <v>669</v>
      </c>
      <c r="D375" t="s">
        <v>29</v>
      </c>
      <c r="E375" t="s">
        <v>16</v>
      </c>
      <c r="F375" t="s">
        <v>17</v>
      </c>
      <c r="G375" t="s">
        <v>18</v>
      </c>
      <c r="H375">
        <v>27965.91</v>
      </c>
      <c r="I375">
        <v>0</v>
      </c>
      <c r="J375" t="str">
        <f t="shared" si="25"/>
        <v>High</v>
      </c>
      <c r="K375" t="str">
        <f t="shared" si="26"/>
        <v>Normal</v>
      </c>
      <c r="L375">
        <f t="shared" si="27"/>
        <v>1</v>
      </c>
      <c r="M375">
        <f t="shared" si="28"/>
        <v>1</v>
      </c>
      <c r="N375" s="6">
        <f t="shared" si="29"/>
        <v>45684</v>
      </c>
    </row>
    <row r="376" spans="1:14" x14ac:dyDescent="0.3">
      <c r="A376">
        <v>647</v>
      </c>
      <c r="B376">
        <v>10057</v>
      </c>
      <c r="C376" t="s">
        <v>670</v>
      </c>
      <c r="D376" t="s">
        <v>10</v>
      </c>
      <c r="E376" t="s">
        <v>16</v>
      </c>
      <c r="F376" t="s">
        <v>17</v>
      </c>
      <c r="G376" t="s">
        <v>31</v>
      </c>
      <c r="H376">
        <v>13004.53</v>
      </c>
      <c r="I376">
        <v>0</v>
      </c>
      <c r="J376" t="str">
        <f t="shared" si="25"/>
        <v>High</v>
      </c>
      <c r="K376" t="str">
        <f t="shared" si="26"/>
        <v>Normal</v>
      </c>
      <c r="L376">
        <f t="shared" si="27"/>
        <v>1</v>
      </c>
      <c r="M376">
        <f t="shared" si="28"/>
        <v>1</v>
      </c>
      <c r="N376" s="6">
        <f t="shared" si="29"/>
        <v>45684</v>
      </c>
    </row>
    <row r="377" spans="1:14" x14ac:dyDescent="0.3">
      <c r="A377">
        <v>648</v>
      </c>
      <c r="B377">
        <v>10038</v>
      </c>
      <c r="C377" t="s">
        <v>671</v>
      </c>
      <c r="D377" t="s">
        <v>20</v>
      </c>
      <c r="E377" t="s">
        <v>11</v>
      </c>
      <c r="F377" t="s">
        <v>12</v>
      </c>
      <c r="G377" t="s">
        <v>21</v>
      </c>
      <c r="H377">
        <v>10044.700000000001</v>
      </c>
      <c r="I377">
        <v>0</v>
      </c>
      <c r="J377" t="str">
        <f t="shared" si="25"/>
        <v>High</v>
      </c>
      <c r="K377" t="str">
        <f t="shared" si="26"/>
        <v>Normal</v>
      </c>
      <c r="L377">
        <f t="shared" si="27"/>
        <v>1</v>
      </c>
      <c r="M377">
        <f t="shared" si="28"/>
        <v>1</v>
      </c>
      <c r="N377" s="6">
        <f t="shared" si="29"/>
        <v>45684</v>
      </c>
    </row>
    <row r="378" spans="1:14" x14ac:dyDescent="0.3">
      <c r="A378">
        <v>601</v>
      </c>
      <c r="B378">
        <v>10061</v>
      </c>
      <c r="C378" t="s">
        <v>624</v>
      </c>
      <c r="D378" t="s">
        <v>29</v>
      </c>
      <c r="E378" t="s">
        <v>24</v>
      </c>
      <c r="F378" t="s">
        <v>12</v>
      </c>
      <c r="G378" t="s">
        <v>21</v>
      </c>
      <c r="H378">
        <v>40830.81</v>
      </c>
      <c r="I378">
        <v>0</v>
      </c>
      <c r="J378" t="str">
        <f t="shared" si="25"/>
        <v>High</v>
      </c>
      <c r="K378" t="str">
        <f t="shared" si="26"/>
        <v>Normal</v>
      </c>
      <c r="L378">
        <f t="shared" si="27"/>
        <v>1</v>
      </c>
      <c r="M378">
        <f t="shared" si="28"/>
        <v>1</v>
      </c>
      <c r="N378" s="6">
        <f t="shared" si="29"/>
        <v>45683</v>
      </c>
    </row>
    <row r="379" spans="1:14" x14ac:dyDescent="0.3">
      <c r="A379">
        <v>602</v>
      </c>
      <c r="B379">
        <v>10095</v>
      </c>
      <c r="C379" t="s">
        <v>625</v>
      </c>
      <c r="D379" t="s">
        <v>10</v>
      </c>
      <c r="E379" t="s">
        <v>24</v>
      </c>
      <c r="F379" t="s">
        <v>17</v>
      </c>
      <c r="G379" t="s">
        <v>18</v>
      </c>
      <c r="H379">
        <v>12644</v>
      </c>
      <c r="I379">
        <v>0</v>
      </c>
      <c r="J379" t="str">
        <f t="shared" si="25"/>
        <v>High</v>
      </c>
      <c r="K379" t="str">
        <f t="shared" si="26"/>
        <v>Normal</v>
      </c>
      <c r="L379">
        <f t="shared" si="27"/>
        <v>1</v>
      </c>
      <c r="M379">
        <f t="shared" si="28"/>
        <v>1</v>
      </c>
      <c r="N379" s="6">
        <f t="shared" si="29"/>
        <v>45683</v>
      </c>
    </row>
    <row r="380" spans="1:14" x14ac:dyDescent="0.3">
      <c r="A380">
        <v>603</v>
      </c>
      <c r="B380">
        <v>10036</v>
      </c>
      <c r="C380" t="s">
        <v>626</v>
      </c>
      <c r="D380" t="s">
        <v>10</v>
      </c>
      <c r="E380" t="s">
        <v>16</v>
      </c>
      <c r="F380" t="s">
        <v>17</v>
      </c>
      <c r="G380" t="s">
        <v>31</v>
      </c>
      <c r="H380">
        <v>17212.37</v>
      </c>
      <c r="I380">
        <v>0</v>
      </c>
      <c r="J380" t="str">
        <f t="shared" si="25"/>
        <v>High</v>
      </c>
      <c r="K380" t="str">
        <f t="shared" si="26"/>
        <v>Normal</v>
      </c>
      <c r="L380">
        <f t="shared" si="27"/>
        <v>1</v>
      </c>
      <c r="M380">
        <f t="shared" si="28"/>
        <v>1</v>
      </c>
      <c r="N380" s="6">
        <f t="shared" si="29"/>
        <v>45683</v>
      </c>
    </row>
    <row r="381" spans="1:14" x14ac:dyDescent="0.3">
      <c r="A381">
        <v>604</v>
      </c>
      <c r="B381">
        <v>10011</v>
      </c>
      <c r="C381" t="s">
        <v>627</v>
      </c>
      <c r="D381" t="s">
        <v>29</v>
      </c>
      <c r="E381" t="s">
        <v>16</v>
      </c>
      <c r="F381" t="s">
        <v>12</v>
      </c>
      <c r="G381" t="s">
        <v>21</v>
      </c>
      <c r="H381">
        <v>82752.92</v>
      </c>
      <c r="I381">
        <v>0</v>
      </c>
      <c r="J381" t="str">
        <f t="shared" si="25"/>
        <v>High</v>
      </c>
      <c r="K381" t="str">
        <f t="shared" si="26"/>
        <v>Normal</v>
      </c>
      <c r="L381">
        <f t="shared" si="27"/>
        <v>1</v>
      </c>
      <c r="M381">
        <f t="shared" si="28"/>
        <v>1</v>
      </c>
      <c r="N381" s="6">
        <f t="shared" si="29"/>
        <v>45683</v>
      </c>
    </row>
    <row r="382" spans="1:14" x14ac:dyDescent="0.3">
      <c r="A382">
        <v>605</v>
      </c>
      <c r="B382">
        <v>10054</v>
      </c>
      <c r="C382" t="s">
        <v>628</v>
      </c>
      <c r="D382" t="s">
        <v>20</v>
      </c>
      <c r="E382" t="s">
        <v>11</v>
      </c>
      <c r="F382" t="s">
        <v>12</v>
      </c>
      <c r="G382" t="s">
        <v>21</v>
      </c>
      <c r="H382">
        <v>58525.38</v>
      </c>
      <c r="I382">
        <v>1</v>
      </c>
      <c r="J382" t="str">
        <f t="shared" si="25"/>
        <v>High</v>
      </c>
      <c r="K382" t="str">
        <f t="shared" si="26"/>
        <v>High Risk</v>
      </c>
      <c r="L382">
        <f t="shared" si="27"/>
        <v>1</v>
      </c>
      <c r="M382">
        <f t="shared" si="28"/>
        <v>1</v>
      </c>
      <c r="N382" s="6">
        <f t="shared" si="29"/>
        <v>45683</v>
      </c>
    </row>
    <row r="383" spans="1:14" x14ac:dyDescent="0.3">
      <c r="A383">
        <v>606</v>
      </c>
      <c r="B383">
        <v>10012</v>
      </c>
      <c r="C383" t="s">
        <v>629</v>
      </c>
      <c r="D383" t="s">
        <v>29</v>
      </c>
      <c r="E383" t="s">
        <v>11</v>
      </c>
      <c r="F383" t="s">
        <v>17</v>
      </c>
      <c r="G383" t="s">
        <v>18</v>
      </c>
      <c r="H383">
        <v>33819.49</v>
      </c>
      <c r="I383">
        <v>0</v>
      </c>
      <c r="J383" t="str">
        <f t="shared" si="25"/>
        <v>High</v>
      </c>
      <c r="K383" t="str">
        <f t="shared" si="26"/>
        <v>Normal</v>
      </c>
      <c r="L383">
        <f t="shared" si="27"/>
        <v>1</v>
      </c>
      <c r="M383">
        <f t="shared" si="28"/>
        <v>1</v>
      </c>
      <c r="N383" s="6">
        <f t="shared" si="29"/>
        <v>45683</v>
      </c>
    </row>
    <row r="384" spans="1:14" x14ac:dyDescent="0.3">
      <c r="A384">
        <v>607</v>
      </c>
      <c r="B384">
        <v>10022</v>
      </c>
      <c r="C384" t="s">
        <v>630</v>
      </c>
      <c r="D384" t="s">
        <v>20</v>
      </c>
      <c r="E384" t="s">
        <v>16</v>
      </c>
      <c r="F384" t="s">
        <v>17</v>
      </c>
      <c r="G384" t="s">
        <v>31</v>
      </c>
      <c r="H384">
        <v>80304.84</v>
      </c>
      <c r="I384">
        <v>0</v>
      </c>
      <c r="J384" t="str">
        <f t="shared" si="25"/>
        <v>High</v>
      </c>
      <c r="K384" t="str">
        <f t="shared" si="26"/>
        <v>Normal</v>
      </c>
      <c r="L384">
        <f t="shared" si="27"/>
        <v>1</v>
      </c>
      <c r="M384">
        <f t="shared" si="28"/>
        <v>1</v>
      </c>
      <c r="N384" s="6">
        <f t="shared" si="29"/>
        <v>45683</v>
      </c>
    </row>
    <row r="385" spans="1:14" x14ac:dyDescent="0.3">
      <c r="A385">
        <v>608</v>
      </c>
      <c r="B385">
        <v>10088</v>
      </c>
      <c r="C385" t="s">
        <v>631</v>
      </c>
      <c r="D385" t="s">
        <v>29</v>
      </c>
      <c r="E385" t="s">
        <v>24</v>
      </c>
      <c r="F385" t="s">
        <v>17</v>
      </c>
      <c r="G385" t="s">
        <v>21</v>
      </c>
      <c r="H385">
        <v>24727.34</v>
      </c>
      <c r="I385">
        <v>0</v>
      </c>
      <c r="J385" t="str">
        <f t="shared" si="25"/>
        <v>High</v>
      </c>
      <c r="K385" t="str">
        <f t="shared" si="26"/>
        <v>Normal</v>
      </c>
      <c r="L385">
        <f t="shared" si="27"/>
        <v>1</v>
      </c>
      <c r="M385">
        <f t="shared" si="28"/>
        <v>1</v>
      </c>
      <c r="N385" s="6">
        <f t="shared" si="29"/>
        <v>45683</v>
      </c>
    </row>
    <row r="386" spans="1:14" x14ac:dyDescent="0.3">
      <c r="A386">
        <v>609</v>
      </c>
      <c r="B386">
        <v>10098</v>
      </c>
      <c r="C386" t="s">
        <v>632</v>
      </c>
      <c r="D386" t="s">
        <v>29</v>
      </c>
      <c r="E386" t="s">
        <v>11</v>
      </c>
      <c r="F386" t="s">
        <v>12</v>
      </c>
      <c r="G386" t="s">
        <v>21</v>
      </c>
      <c r="H386">
        <v>97605.67</v>
      </c>
      <c r="I386">
        <v>1</v>
      </c>
      <c r="J386" t="str">
        <f t="shared" ref="J386:J449" si="30">IF(E386&gt;50000,"High","Normal")</f>
        <v>High</v>
      </c>
      <c r="K386" t="str">
        <f t="shared" ref="K386:K449" si="31">IF(AND(H386&gt;50000,E386="Online"),"High Risk","Normal")</f>
        <v>High Risk</v>
      </c>
      <c r="L386">
        <f t="shared" ref="L386:L449" si="32">COUNTIFS(C:C,C386,B:B,B386)</f>
        <v>1</v>
      </c>
      <c r="M386">
        <f t="shared" ref="M386:M449" si="33">IF(E386&gt;50000,1,0) + IF(H386="Unusual",1,0) + IF(I386&gt;3,1,0)</f>
        <v>1</v>
      </c>
      <c r="N386" s="6">
        <f t="shared" ref="N386:N449" si="34">INT(C386)</f>
        <v>45683</v>
      </c>
    </row>
    <row r="387" spans="1:14" x14ac:dyDescent="0.3">
      <c r="A387">
        <v>610</v>
      </c>
      <c r="B387">
        <v>10029</v>
      </c>
      <c r="C387" t="s">
        <v>633</v>
      </c>
      <c r="D387" t="s">
        <v>15</v>
      </c>
      <c r="E387" t="s">
        <v>11</v>
      </c>
      <c r="F387" t="s">
        <v>12</v>
      </c>
      <c r="G387" t="s">
        <v>31</v>
      </c>
      <c r="H387">
        <v>34547.279999999999</v>
      </c>
      <c r="I387">
        <v>0</v>
      </c>
      <c r="J387" t="str">
        <f t="shared" si="30"/>
        <v>High</v>
      </c>
      <c r="K387" t="str">
        <f t="shared" si="31"/>
        <v>Normal</v>
      </c>
      <c r="L387">
        <f t="shared" si="32"/>
        <v>1</v>
      </c>
      <c r="M387">
        <f t="shared" si="33"/>
        <v>1</v>
      </c>
      <c r="N387" s="6">
        <f t="shared" si="34"/>
        <v>45683</v>
      </c>
    </row>
    <row r="388" spans="1:14" x14ac:dyDescent="0.3">
      <c r="A388">
        <v>611</v>
      </c>
      <c r="B388">
        <v>10016</v>
      </c>
      <c r="C388" t="s">
        <v>634</v>
      </c>
      <c r="D388" t="s">
        <v>10</v>
      </c>
      <c r="E388" t="s">
        <v>24</v>
      </c>
      <c r="F388" t="s">
        <v>12</v>
      </c>
      <c r="G388" t="s">
        <v>13</v>
      </c>
      <c r="H388">
        <v>33797.360000000001</v>
      </c>
      <c r="I388">
        <v>0</v>
      </c>
      <c r="J388" t="str">
        <f t="shared" si="30"/>
        <v>High</v>
      </c>
      <c r="K388" t="str">
        <f t="shared" si="31"/>
        <v>Normal</v>
      </c>
      <c r="L388">
        <f t="shared" si="32"/>
        <v>1</v>
      </c>
      <c r="M388">
        <f t="shared" si="33"/>
        <v>1</v>
      </c>
      <c r="N388" s="6">
        <f t="shared" si="34"/>
        <v>45683</v>
      </c>
    </row>
    <row r="389" spans="1:14" x14ac:dyDescent="0.3">
      <c r="A389">
        <v>612</v>
      </c>
      <c r="B389">
        <v>10061</v>
      </c>
      <c r="C389" t="s">
        <v>635</v>
      </c>
      <c r="D389" t="s">
        <v>29</v>
      </c>
      <c r="E389" t="s">
        <v>11</v>
      </c>
      <c r="F389" t="s">
        <v>12</v>
      </c>
      <c r="G389" t="s">
        <v>21</v>
      </c>
      <c r="H389">
        <v>31260</v>
      </c>
      <c r="I389">
        <v>0</v>
      </c>
      <c r="J389" t="str">
        <f t="shared" si="30"/>
        <v>High</v>
      </c>
      <c r="K389" t="str">
        <f t="shared" si="31"/>
        <v>Normal</v>
      </c>
      <c r="L389">
        <f t="shared" si="32"/>
        <v>1</v>
      </c>
      <c r="M389">
        <f t="shared" si="33"/>
        <v>1</v>
      </c>
      <c r="N389" s="6">
        <f t="shared" si="34"/>
        <v>45683</v>
      </c>
    </row>
    <row r="390" spans="1:14" x14ac:dyDescent="0.3">
      <c r="A390">
        <v>613</v>
      </c>
      <c r="B390">
        <v>10083</v>
      </c>
      <c r="C390" t="s">
        <v>636</v>
      </c>
      <c r="D390" t="s">
        <v>29</v>
      </c>
      <c r="E390" t="s">
        <v>24</v>
      </c>
      <c r="F390" t="s">
        <v>17</v>
      </c>
      <c r="G390" t="s">
        <v>25</v>
      </c>
      <c r="H390">
        <v>12298.94</v>
      </c>
      <c r="I390">
        <v>0</v>
      </c>
      <c r="J390" t="str">
        <f t="shared" si="30"/>
        <v>High</v>
      </c>
      <c r="K390" t="str">
        <f t="shared" si="31"/>
        <v>Normal</v>
      </c>
      <c r="L390">
        <f t="shared" si="32"/>
        <v>1</v>
      </c>
      <c r="M390">
        <f t="shared" si="33"/>
        <v>1</v>
      </c>
      <c r="N390" s="6">
        <f t="shared" si="34"/>
        <v>45683</v>
      </c>
    </row>
    <row r="391" spans="1:14" x14ac:dyDescent="0.3">
      <c r="A391">
        <v>614</v>
      </c>
      <c r="B391">
        <v>10088</v>
      </c>
      <c r="C391" t="s">
        <v>637</v>
      </c>
      <c r="D391" t="s">
        <v>23</v>
      </c>
      <c r="E391" t="s">
        <v>24</v>
      </c>
      <c r="F391" t="s">
        <v>17</v>
      </c>
      <c r="G391" t="s">
        <v>31</v>
      </c>
      <c r="H391">
        <v>11202.6</v>
      </c>
      <c r="I391">
        <v>0</v>
      </c>
      <c r="J391" t="str">
        <f t="shared" si="30"/>
        <v>High</v>
      </c>
      <c r="K391" t="str">
        <f t="shared" si="31"/>
        <v>Normal</v>
      </c>
      <c r="L391">
        <f t="shared" si="32"/>
        <v>1</v>
      </c>
      <c r="M391">
        <f t="shared" si="33"/>
        <v>1</v>
      </c>
      <c r="N391" s="6">
        <f t="shared" si="34"/>
        <v>45683</v>
      </c>
    </row>
    <row r="392" spans="1:14" x14ac:dyDescent="0.3">
      <c r="A392">
        <v>615</v>
      </c>
      <c r="B392">
        <v>10085</v>
      </c>
      <c r="C392" t="s">
        <v>638</v>
      </c>
      <c r="D392" t="s">
        <v>10</v>
      </c>
      <c r="E392" t="s">
        <v>24</v>
      </c>
      <c r="F392" t="s">
        <v>17</v>
      </c>
      <c r="G392" t="s">
        <v>21</v>
      </c>
      <c r="H392">
        <v>64845.69</v>
      </c>
      <c r="I392">
        <v>0</v>
      </c>
      <c r="J392" t="str">
        <f t="shared" si="30"/>
        <v>High</v>
      </c>
      <c r="K392" t="str">
        <f t="shared" si="31"/>
        <v>Normal</v>
      </c>
      <c r="L392">
        <f t="shared" si="32"/>
        <v>1</v>
      </c>
      <c r="M392">
        <f t="shared" si="33"/>
        <v>1</v>
      </c>
      <c r="N392" s="6">
        <f t="shared" si="34"/>
        <v>45683</v>
      </c>
    </row>
    <row r="393" spans="1:14" x14ac:dyDescent="0.3">
      <c r="A393">
        <v>616</v>
      </c>
      <c r="B393">
        <v>10012</v>
      </c>
      <c r="C393" t="s">
        <v>639</v>
      </c>
      <c r="D393" t="s">
        <v>23</v>
      </c>
      <c r="E393" t="s">
        <v>16</v>
      </c>
      <c r="F393" t="s">
        <v>17</v>
      </c>
      <c r="G393" t="s">
        <v>18</v>
      </c>
      <c r="H393">
        <v>87524.29</v>
      </c>
      <c r="I393">
        <v>0</v>
      </c>
      <c r="J393" t="str">
        <f t="shared" si="30"/>
        <v>High</v>
      </c>
      <c r="K393" t="str">
        <f t="shared" si="31"/>
        <v>Normal</v>
      </c>
      <c r="L393">
        <f t="shared" si="32"/>
        <v>1</v>
      </c>
      <c r="M393">
        <f t="shared" si="33"/>
        <v>1</v>
      </c>
      <c r="N393" s="6">
        <f t="shared" si="34"/>
        <v>45683</v>
      </c>
    </row>
    <row r="394" spans="1:14" x14ac:dyDescent="0.3">
      <c r="A394">
        <v>617</v>
      </c>
      <c r="B394">
        <v>10058</v>
      </c>
      <c r="C394" t="s">
        <v>640</v>
      </c>
      <c r="D394" t="s">
        <v>10</v>
      </c>
      <c r="E394" t="s">
        <v>16</v>
      </c>
      <c r="F394" t="s">
        <v>17</v>
      </c>
      <c r="G394" t="s">
        <v>25</v>
      </c>
      <c r="H394">
        <v>79073</v>
      </c>
      <c r="I394">
        <v>0</v>
      </c>
      <c r="J394" t="str">
        <f t="shared" si="30"/>
        <v>High</v>
      </c>
      <c r="K394" t="str">
        <f t="shared" si="31"/>
        <v>Normal</v>
      </c>
      <c r="L394">
        <f t="shared" si="32"/>
        <v>1</v>
      </c>
      <c r="M394">
        <f t="shared" si="33"/>
        <v>1</v>
      </c>
      <c r="N394" s="6">
        <f t="shared" si="34"/>
        <v>45683</v>
      </c>
    </row>
    <row r="395" spans="1:14" x14ac:dyDescent="0.3">
      <c r="A395">
        <v>618</v>
      </c>
      <c r="B395">
        <v>10018</v>
      </c>
      <c r="C395" t="s">
        <v>641</v>
      </c>
      <c r="D395" t="s">
        <v>23</v>
      </c>
      <c r="E395" t="s">
        <v>16</v>
      </c>
      <c r="F395" t="s">
        <v>17</v>
      </c>
      <c r="G395" t="s">
        <v>21</v>
      </c>
      <c r="H395">
        <v>14196.65</v>
      </c>
      <c r="I395">
        <v>0</v>
      </c>
      <c r="J395" t="str">
        <f t="shared" si="30"/>
        <v>High</v>
      </c>
      <c r="K395" t="str">
        <f t="shared" si="31"/>
        <v>Normal</v>
      </c>
      <c r="L395">
        <f t="shared" si="32"/>
        <v>1</v>
      </c>
      <c r="M395">
        <f t="shared" si="33"/>
        <v>1</v>
      </c>
      <c r="N395" s="6">
        <f t="shared" si="34"/>
        <v>45683</v>
      </c>
    </row>
    <row r="396" spans="1:14" x14ac:dyDescent="0.3">
      <c r="A396">
        <v>619</v>
      </c>
      <c r="B396">
        <v>10048</v>
      </c>
      <c r="C396" t="s">
        <v>642</v>
      </c>
      <c r="D396" t="s">
        <v>29</v>
      </c>
      <c r="E396" t="s">
        <v>24</v>
      </c>
      <c r="F396" t="s">
        <v>12</v>
      </c>
      <c r="G396" t="s">
        <v>25</v>
      </c>
      <c r="H396">
        <v>54603.65</v>
      </c>
      <c r="I396">
        <v>0</v>
      </c>
      <c r="J396" t="str">
        <f t="shared" si="30"/>
        <v>High</v>
      </c>
      <c r="K396" t="str">
        <f t="shared" si="31"/>
        <v>Normal</v>
      </c>
      <c r="L396">
        <f t="shared" si="32"/>
        <v>1</v>
      </c>
      <c r="M396">
        <f t="shared" si="33"/>
        <v>1</v>
      </c>
      <c r="N396" s="6">
        <f t="shared" si="34"/>
        <v>45683</v>
      </c>
    </row>
    <row r="397" spans="1:14" x14ac:dyDescent="0.3">
      <c r="A397">
        <v>620</v>
      </c>
      <c r="B397">
        <v>10099</v>
      </c>
      <c r="C397" t="s">
        <v>643</v>
      </c>
      <c r="D397" t="s">
        <v>29</v>
      </c>
      <c r="E397" t="s">
        <v>24</v>
      </c>
      <c r="F397" t="s">
        <v>12</v>
      </c>
      <c r="G397" t="s">
        <v>25</v>
      </c>
      <c r="H397">
        <v>10648.6</v>
      </c>
      <c r="I397">
        <v>0</v>
      </c>
      <c r="J397" t="str">
        <f t="shared" si="30"/>
        <v>High</v>
      </c>
      <c r="K397" t="str">
        <f t="shared" si="31"/>
        <v>Normal</v>
      </c>
      <c r="L397">
        <f t="shared" si="32"/>
        <v>1</v>
      </c>
      <c r="M397">
        <f t="shared" si="33"/>
        <v>1</v>
      </c>
      <c r="N397" s="6">
        <f t="shared" si="34"/>
        <v>45683</v>
      </c>
    </row>
    <row r="398" spans="1:14" x14ac:dyDescent="0.3">
      <c r="A398">
        <v>621</v>
      </c>
      <c r="B398">
        <v>10011</v>
      </c>
      <c r="C398" t="s">
        <v>644</v>
      </c>
      <c r="D398" t="s">
        <v>15</v>
      </c>
      <c r="E398" t="s">
        <v>16</v>
      </c>
      <c r="F398" t="s">
        <v>17</v>
      </c>
      <c r="G398" t="s">
        <v>13</v>
      </c>
      <c r="H398">
        <v>4624.93</v>
      </c>
      <c r="I398">
        <v>0</v>
      </c>
      <c r="J398" t="str">
        <f t="shared" si="30"/>
        <v>High</v>
      </c>
      <c r="K398" t="str">
        <f t="shared" si="31"/>
        <v>Normal</v>
      </c>
      <c r="L398">
        <f t="shared" si="32"/>
        <v>1</v>
      </c>
      <c r="M398">
        <f t="shared" si="33"/>
        <v>1</v>
      </c>
      <c r="N398" s="6">
        <f t="shared" si="34"/>
        <v>45683</v>
      </c>
    </row>
    <row r="399" spans="1:14" x14ac:dyDescent="0.3">
      <c r="A399">
        <v>622</v>
      </c>
      <c r="B399">
        <v>10060</v>
      </c>
      <c r="C399" t="s">
        <v>645</v>
      </c>
      <c r="D399" t="s">
        <v>23</v>
      </c>
      <c r="E399" t="s">
        <v>11</v>
      </c>
      <c r="F399" t="s">
        <v>17</v>
      </c>
      <c r="G399" t="s">
        <v>25</v>
      </c>
      <c r="H399">
        <v>65672.95</v>
      </c>
      <c r="I399">
        <v>1</v>
      </c>
      <c r="J399" t="str">
        <f t="shared" si="30"/>
        <v>High</v>
      </c>
      <c r="K399" t="str">
        <f t="shared" si="31"/>
        <v>High Risk</v>
      </c>
      <c r="L399">
        <f t="shared" si="32"/>
        <v>1</v>
      </c>
      <c r="M399">
        <f t="shared" si="33"/>
        <v>1</v>
      </c>
      <c r="N399" s="6">
        <f t="shared" si="34"/>
        <v>45683</v>
      </c>
    </row>
    <row r="400" spans="1:14" x14ac:dyDescent="0.3">
      <c r="A400">
        <v>623</v>
      </c>
      <c r="B400">
        <v>10018</v>
      </c>
      <c r="C400" t="s">
        <v>646</v>
      </c>
      <c r="D400" t="s">
        <v>20</v>
      </c>
      <c r="E400" t="s">
        <v>24</v>
      </c>
      <c r="F400" t="s">
        <v>12</v>
      </c>
      <c r="G400" t="s">
        <v>13</v>
      </c>
      <c r="H400">
        <v>53561.72</v>
      </c>
      <c r="I400">
        <v>0</v>
      </c>
      <c r="J400" t="str">
        <f t="shared" si="30"/>
        <v>High</v>
      </c>
      <c r="K400" t="str">
        <f t="shared" si="31"/>
        <v>Normal</v>
      </c>
      <c r="L400">
        <f t="shared" si="32"/>
        <v>1</v>
      </c>
      <c r="M400">
        <f t="shared" si="33"/>
        <v>1</v>
      </c>
      <c r="N400" s="6">
        <f t="shared" si="34"/>
        <v>45683</v>
      </c>
    </row>
    <row r="401" spans="1:14" x14ac:dyDescent="0.3">
      <c r="A401">
        <v>624</v>
      </c>
      <c r="B401">
        <v>10075</v>
      </c>
      <c r="C401" t="s">
        <v>647</v>
      </c>
      <c r="D401" t="s">
        <v>15</v>
      </c>
      <c r="E401" t="s">
        <v>11</v>
      </c>
      <c r="F401" t="s">
        <v>12</v>
      </c>
      <c r="G401" t="s">
        <v>31</v>
      </c>
      <c r="H401">
        <v>8294.17</v>
      </c>
      <c r="I401">
        <v>0</v>
      </c>
      <c r="J401" t="str">
        <f t="shared" si="30"/>
        <v>High</v>
      </c>
      <c r="K401" t="str">
        <f t="shared" si="31"/>
        <v>Normal</v>
      </c>
      <c r="L401">
        <f t="shared" si="32"/>
        <v>1</v>
      </c>
      <c r="M401">
        <f t="shared" si="33"/>
        <v>1</v>
      </c>
      <c r="N401" s="6">
        <f t="shared" si="34"/>
        <v>45683</v>
      </c>
    </row>
    <row r="402" spans="1:14" x14ac:dyDescent="0.3">
      <c r="A402">
        <v>577</v>
      </c>
      <c r="B402">
        <v>10073</v>
      </c>
      <c r="C402" t="s">
        <v>600</v>
      </c>
      <c r="D402" t="s">
        <v>15</v>
      </c>
      <c r="E402" t="s">
        <v>11</v>
      </c>
      <c r="F402" t="s">
        <v>12</v>
      </c>
      <c r="G402" t="s">
        <v>13</v>
      </c>
      <c r="H402">
        <v>31823.7</v>
      </c>
      <c r="I402">
        <v>0</v>
      </c>
      <c r="J402" t="str">
        <f t="shared" si="30"/>
        <v>High</v>
      </c>
      <c r="K402" t="str">
        <f t="shared" si="31"/>
        <v>Normal</v>
      </c>
      <c r="L402">
        <f t="shared" si="32"/>
        <v>1</v>
      </c>
      <c r="M402">
        <f t="shared" si="33"/>
        <v>1</v>
      </c>
      <c r="N402" s="6">
        <f t="shared" si="34"/>
        <v>45682</v>
      </c>
    </row>
    <row r="403" spans="1:14" x14ac:dyDescent="0.3">
      <c r="A403">
        <v>578</v>
      </c>
      <c r="B403">
        <v>10089</v>
      </c>
      <c r="C403" t="s">
        <v>601</v>
      </c>
      <c r="D403" t="s">
        <v>20</v>
      </c>
      <c r="E403" t="s">
        <v>16</v>
      </c>
      <c r="F403" t="s">
        <v>17</v>
      </c>
      <c r="G403" t="s">
        <v>25</v>
      </c>
      <c r="H403">
        <v>26012.9</v>
      </c>
      <c r="I403">
        <v>0</v>
      </c>
      <c r="J403" t="str">
        <f t="shared" si="30"/>
        <v>High</v>
      </c>
      <c r="K403" t="str">
        <f t="shared" si="31"/>
        <v>Normal</v>
      </c>
      <c r="L403">
        <f t="shared" si="32"/>
        <v>1</v>
      </c>
      <c r="M403">
        <f t="shared" si="33"/>
        <v>1</v>
      </c>
      <c r="N403" s="6">
        <f t="shared" si="34"/>
        <v>45682</v>
      </c>
    </row>
    <row r="404" spans="1:14" x14ac:dyDescent="0.3">
      <c r="A404">
        <v>579</v>
      </c>
      <c r="B404">
        <v>10033</v>
      </c>
      <c r="C404" t="s">
        <v>602</v>
      </c>
      <c r="D404" t="s">
        <v>29</v>
      </c>
      <c r="E404" t="s">
        <v>24</v>
      </c>
      <c r="F404" t="s">
        <v>17</v>
      </c>
      <c r="G404" t="s">
        <v>21</v>
      </c>
      <c r="H404">
        <v>8850.3700000000008</v>
      </c>
      <c r="I404">
        <v>0</v>
      </c>
      <c r="J404" t="str">
        <f t="shared" si="30"/>
        <v>High</v>
      </c>
      <c r="K404" t="str">
        <f t="shared" si="31"/>
        <v>Normal</v>
      </c>
      <c r="L404">
        <f t="shared" si="32"/>
        <v>1</v>
      </c>
      <c r="M404">
        <f t="shared" si="33"/>
        <v>1</v>
      </c>
      <c r="N404" s="6">
        <f t="shared" si="34"/>
        <v>45682</v>
      </c>
    </row>
    <row r="405" spans="1:14" x14ac:dyDescent="0.3">
      <c r="A405">
        <v>580</v>
      </c>
      <c r="B405">
        <v>10006</v>
      </c>
      <c r="C405" t="s">
        <v>603</v>
      </c>
      <c r="D405" t="s">
        <v>10</v>
      </c>
      <c r="E405" t="s">
        <v>16</v>
      </c>
      <c r="F405" t="s">
        <v>17</v>
      </c>
      <c r="G405" t="s">
        <v>21</v>
      </c>
      <c r="H405">
        <v>9082.6299999999992</v>
      </c>
      <c r="I405">
        <v>0</v>
      </c>
      <c r="J405" t="str">
        <f t="shared" si="30"/>
        <v>High</v>
      </c>
      <c r="K405" t="str">
        <f t="shared" si="31"/>
        <v>Normal</v>
      </c>
      <c r="L405">
        <f t="shared" si="32"/>
        <v>1</v>
      </c>
      <c r="M405">
        <f t="shared" si="33"/>
        <v>1</v>
      </c>
      <c r="N405" s="6">
        <f t="shared" si="34"/>
        <v>45682</v>
      </c>
    </row>
    <row r="406" spans="1:14" x14ac:dyDescent="0.3">
      <c r="A406">
        <v>581</v>
      </c>
      <c r="B406">
        <v>10067</v>
      </c>
      <c r="C406" t="s">
        <v>604</v>
      </c>
      <c r="D406" t="s">
        <v>23</v>
      </c>
      <c r="E406" t="s">
        <v>24</v>
      </c>
      <c r="F406" t="s">
        <v>17</v>
      </c>
      <c r="G406" t="s">
        <v>21</v>
      </c>
      <c r="H406">
        <v>19405.62</v>
      </c>
      <c r="I406">
        <v>0</v>
      </c>
      <c r="J406" t="str">
        <f t="shared" si="30"/>
        <v>High</v>
      </c>
      <c r="K406" t="str">
        <f t="shared" si="31"/>
        <v>Normal</v>
      </c>
      <c r="L406">
        <f t="shared" si="32"/>
        <v>1</v>
      </c>
      <c r="M406">
        <f t="shared" si="33"/>
        <v>1</v>
      </c>
      <c r="N406" s="6">
        <f t="shared" si="34"/>
        <v>45682</v>
      </c>
    </row>
    <row r="407" spans="1:14" x14ac:dyDescent="0.3">
      <c r="A407">
        <v>582</v>
      </c>
      <c r="B407">
        <v>10057</v>
      </c>
      <c r="C407" t="s">
        <v>605</v>
      </c>
      <c r="D407" t="s">
        <v>15</v>
      </c>
      <c r="E407" t="s">
        <v>16</v>
      </c>
      <c r="F407" t="s">
        <v>12</v>
      </c>
      <c r="G407" t="s">
        <v>13</v>
      </c>
      <c r="H407">
        <v>5150.8599999999997</v>
      </c>
      <c r="I407">
        <v>0</v>
      </c>
      <c r="J407" t="str">
        <f t="shared" si="30"/>
        <v>High</v>
      </c>
      <c r="K407" t="str">
        <f t="shared" si="31"/>
        <v>Normal</v>
      </c>
      <c r="L407">
        <f t="shared" si="32"/>
        <v>1</v>
      </c>
      <c r="M407">
        <f t="shared" si="33"/>
        <v>1</v>
      </c>
      <c r="N407" s="6">
        <f t="shared" si="34"/>
        <v>45682</v>
      </c>
    </row>
    <row r="408" spans="1:14" x14ac:dyDescent="0.3">
      <c r="A408">
        <v>583</v>
      </c>
      <c r="B408">
        <v>10074</v>
      </c>
      <c r="C408" t="s">
        <v>606</v>
      </c>
      <c r="D408" t="s">
        <v>23</v>
      </c>
      <c r="E408" t="s">
        <v>11</v>
      </c>
      <c r="F408" t="s">
        <v>12</v>
      </c>
      <c r="G408" t="s">
        <v>31</v>
      </c>
      <c r="H408">
        <v>62683.06</v>
      </c>
      <c r="I408">
        <v>1</v>
      </c>
      <c r="J408" t="str">
        <f t="shared" si="30"/>
        <v>High</v>
      </c>
      <c r="K408" t="str">
        <f t="shared" si="31"/>
        <v>High Risk</v>
      </c>
      <c r="L408">
        <f t="shared" si="32"/>
        <v>1</v>
      </c>
      <c r="M408">
        <f t="shared" si="33"/>
        <v>1</v>
      </c>
      <c r="N408" s="6">
        <f t="shared" si="34"/>
        <v>45682</v>
      </c>
    </row>
    <row r="409" spans="1:14" x14ac:dyDescent="0.3">
      <c r="A409">
        <v>584</v>
      </c>
      <c r="B409">
        <v>10028</v>
      </c>
      <c r="C409" t="s">
        <v>607</v>
      </c>
      <c r="D409" t="s">
        <v>23</v>
      </c>
      <c r="E409" t="s">
        <v>24</v>
      </c>
      <c r="F409" t="s">
        <v>17</v>
      </c>
      <c r="G409" t="s">
        <v>13</v>
      </c>
      <c r="H409">
        <v>28803.94</v>
      </c>
      <c r="I409">
        <v>0</v>
      </c>
      <c r="J409" t="str">
        <f t="shared" si="30"/>
        <v>High</v>
      </c>
      <c r="K409" t="str">
        <f t="shared" si="31"/>
        <v>Normal</v>
      </c>
      <c r="L409">
        <f t="shared" si="32"/>
        <v>1</v>
      </c>
      <c r="M409">
        <f t="shared" si="33"/>
        <v>1</v>
      </c>
      <c r="N409" s="6">
        <f t="shared" si="34"/>
        <v>45682</v>
      </c>
    </row>
    <row r="410" spans="1:14" x14ac:dyDescent="0.3">
      <c r="A410">
        <v>585</v>
      </c>
      <c r="B410">
        <v>10035</v>
      </c>
      <c r="C410" t="s">
        <v>608</v>
      </c>
      <c r="D410" t="s">
        <v>20</v>
      </c>
      <c r="E410" t="s">
        <v>16</v>
      </c>
      <c r="F410" t="s">
        <v>12</v>
      </c>
      <c r="G410" t="s">
        <v>31</v>
      </c>
      <c r="H410">
        <v>28046.62</v>
      </c>
      <c r="I410">
        <v>0</v>
      </c>
      <c r="J410" t="str">
        <f t="shared" si="30"/>
        <v>High</v>
      </c>
      <c r="K410" t="str">
        <f t="shared" si="31"/>
        <v>Normal</v>
      </c>
      <c r="L410">
        <f t="shared" si="32"/>
        <v>1</v>
      </c>
      <c r="M410">
        <f t="shared" si="33"/>
        <v>1</v>
      </c>
      <c r="N410" s="6">
        <f t="shared" si="34"/>
        <v>45682</v>
      </c>
    </row>
    <row r="411" spans="1:14" x14ac:dyDescent="0.3">
      <c r="A411">
        <v>586</v>
      </c>
      <c r="B411">
        <v>10088</v>
      </c>
      <c r="C411" t="s">
        <v>609</v>
      </c>
      <c r="D411" t="s">
        <v>29</v>
      </c>
      <c r="E411" t="s">
        <v>11</v>
      </c>
      <c r="F411" t="s">
        <v>12</v>
      </c>
      <c r="G411" t="s">
        <v>25</v>
      </c>
      <c r="H411">
        <v>33266.629999999997</v>
      </c>
      <c r="I411">
        <v>0</v>
      </c>
      <c r="J411" t="str">
        <f t="shared" si="30"/>
        <v>High</v>
      </c>
      <c r="K411" t="str">
        <f t="shared" si="31"/>
        <v>Normal</v>
      </c>
      <c r="L411">
        <f t="shared" si="32"/>
        <v>1</v>
      </c>
      <c r="M411">
        <f t="shared" si="33"/>
        <v>1</v>
      </c>
      <c r="N411" s="6">
        <f t="shared" si="34"/>
        <v>45682</v>
      </c>
    </row>
    <row r="412" spans="1:14" x14ac:dyDescent="0.3">
      <c r="A412">
        <v>587</v>
      </c>
      <c r="B412">
        <v>10020</v>
      </c>
      <c r="C412" t="s">
        <v>610</v>
      </c>
      <c r="D412" t="s">
        <v>15</v>
      </c>
      <c r="E412" t="s">
        <v>11</v>
      </c>
      <c r="F412" t="s">
        <v>17</v>
      </c>
      <c r="G412" t="s">
        <v>18</v>
      </c>
      <c r="H412">
        <v>66313.350000000006</v>
      </c>
      <c r="I412">
        <v>1</v>
      </c>
      <c r="J412" t="str">
        <f t="shared" si="30"/>
        <v>High</v>
      </c>
      <c r="K412" t="str">
        <f t="shared" si="31"/>
        <v>High Risk</v>
      </c>
      <c r="L412">
        <f t="shared" si="32"/>
        <v>1</v>
      </c>
      <c r="M412">
        <f t="shared" si="33"/>
        <v>1</v>
      </c>
      <c r="N412" s="6">
        <f t="shared" si="34"/>
        <v>45682</v>
      </c>
    </row>
    <row r="413" spans="1:14" x14ac:dyDescent="0.3">
      <c r="A413">
        <v>588</v>
      </c>
      <c r="B413">
        <v>10035</v>
      </c>
      <c r="C413" t="s">
        <v>611</v>
      </c>
      <c r="D413" t="s">
        <v>23</v>
      </c>
      <c r="E413" t="s">
        <v>16</v>
      </c>
      <c r="F413" t="s">
        <v>12</v>
      </c>
      <c r="G413" t="s">
        <v>31</v>
      </c>
      <c r="H413">
        <v>87076.32</v>
      </c>
      <c r="I413">
        <v>0</v>
      </c>
      <c r="J413" t="str">
        <f t="shared" si="30"/>
        <v>High</v>
      </c>
      <c r="K413" t="str">
        <f t="shared" si="31"/>
        <v>Normal</v>
      </c>
      <c r="L413">
        <f t="shared" si="32"/>
        <v>1</v>
      </c>
      <c r="M413">
        <f t="shared" si="33"/>
        <v>1</v>
      </c>
      <c r="N413" s="6">
        <f t="shared" si="34"/>
        <v>45682</v>
      </c>
    </row>
    <row r="414" spans="1:14" x14ac:dyDescent="0.3">
      <c r="A414">
        <v>589</v>
      </c>
      <c r="B414">
        <v>10009</v>
      </c>
      <c r="C414" t="s">
        <v>612</v>
      </c>
      <c r="D414" t="s">
        <v>15</v>
      </c>
      <c r="E414" t="s">
        <v>24</v>
      </c>
      <c r="F414" t="s">
        <v>17</v>
      </c>
      <c r="G414" t="s">
        <v>21</v>
      </c>
      <c r="H414">
        <v>75932.78</v>
      </c>
      <c r="I414">
        <v>0</v>
      </c>
      <c r="J414" t="str">
        <f t="shared" si="30"/>
        <v>High</v>
      </c>
      <c r="K414" t="str">
        <f t="shared" si="31"/>
        <v>Normal</v>
      </c>
      <c r="L414">
        <f t="shared" si="32"/>
        <v>1</v>
      </c>
      <c r="M414">
        <f t="shared" si="33"/>
        <v>1</v>
      </c>
      <c r="N414" s="6">
        <f t="shared" si="34"/>
        <v>45682</v>
      </c>
    </row>
    <row r="415" spans="1:14" x14ac:dyDescent="0.3">
      <c r="A415">
        <v>590</v>
      </c>
      <c r="B415">
        <v>10072</v>
      </c>
      <c r="C415" t="s">
        <v>613</v>
      </c>
      <c r="D415" t="s">
        <v>10</v>
      </c>
      <c r="E415" t="s">
        <v>24</v>
      </c>
      <c r="F415" t="s">
        <v>12</v>
      </c>
      <c r="G415" t="s">
        <v>13</v>
      </c>
      <c r="H415">
        <v>72780.17</v>
      </c>
      <c r="I415">
        <v>0</v>
      </c>
      <c r="J415" t="str">
        <f t="shared" si="30"/>
        <v>High</v>
      </c>
      <c r="K415" t="str">
        <f t="shared" si="31"/>
        <v>Normal</v>
      </c>
      <c r="L415">
        <f t="shared" si="32"/>
        <v>1</v>
      </c>
      <c r="M415">
        <f t="shared" si="33"/>
        <v>1</v>
      </c>
      <c r="N415" s="6">
        <f t="shared" si="34"/>
        <v>45682</v>
      </c>
    </row>
    <row r="416" spans="1:14" x14ac:dyDescent="0.3">
      <c r="A416">
        <v>591</v>
      </c>
      <c r="B416">
        <v>10023</v>
      </c>
      <c r="C416" t="s">
        <v>614</v>
      </c>
      <c r="D416" t="s">
        <v>20</v>
      </c>
      <c r="E416" t="s">
        <v>11</v>
      </c>
      <c r="F416" t="s">
        <v>17</v>
      </c>
      <c r="G416" t="s">
        <v>25</v>
      </c>
      <c r="H416">
        <v>48490.68</v>
      </c>
      <c r="I416">
        <v>0</v>
      </c>
      <c r="J416" t="str">
        <f t="shared" si="30"/>
        <v>High</v>
      </c>
      <c r="K416" t="str">
        <f t="shared" si="31"/>
        <v>Normal</v>
      </c>
      <c r="L416">
        <f t="shared" si="32"/>
        <v>1</v>
      </c>
      <c r="M416">
        <f t="shared" si="33"/>
        <v>1</v>
      </c>
      <c r="N416" s="6">
        <f t="shared" si="34"/>
        <v>45682</v>
      </c>
    </row>
    <row r="417" spans="1:14" x14ac:dyDescent="0.3">
      <c r="A417">
        <v>592</v>
      </c>
      <c r="B417">
        <v>10063</v>
      </c>
      <c r="C417" t="s">
        <v>615</v>
      </c>
      <c r="D417" t="s">
        <v>10</v>
      </c>
      <c r="E417" t="s">
        <v>24</v>
      </c>
      <c r="F417" t="s">
        <v>12</v>
      </c>
      <c r="G417" t="s">
        <v>21</v>
      </c>
      <c r="H417">
        <v>69411.179999999993</v>
      </c>
      <c r="I417">
        <v>0</v>
      </c>
      <c r="J417" t="str">
        <f t="shared" si="30"/>
        <v>High</v>
      </c>
      <c r="K417" t="str">
        <f t="shared" si="31"/>
        <v>Normal</v>
      </c>
      <c r="L417">
        <f t="shared" si="32"/>
        <v>1</v>
      </c>
      <c r="M417">
        <f t="shared" si="33"/>
        <v>1</v>
      </c>
      <c r="N417" s="6">
        <f t="shared" si="34"/>
        <v>45682</v>
      </c>
    </row>
    <row r="418" spans="1:14" x14ac:dyDescent="0.3">
      <c r="A418">
        <v>593</v>
      </c>
      <c r="B418">
        <v>10098</v>
      </c>
      <c r="C418" t="s">
        <v>616</v>
      </c>
      <c r="D418" t="s">
        <v>15</v>
      </c>
      <c r="E418" t="s">
        <v>24</v>
      </c>
      <c r="F418" t="s">
        <v>12</v>
      </c>
      <c r="G418" t="s">
        <v>25</v>
      </c>
      <c r="H418">
        <v>55320.959999999999</v>
      </c>
      <c r="I418">
        <v>0</v>
      </c>
      <c r="J418" t="str">
        <f t="shared" si="30"/>
        <v>High</v>
      </c>
      <c r="K418" t="str">
        <f t="shared" si="31"/>
        <v>Normal</v>
      </c>
      <c r="L418">
        <f t="shared" si="32"/>
        <v>1</v>
      </c>
      <c r="M418">
        <f t="shared" si="33"/>
        <v>1</v>
      </c>
      <c r="N418" s="6">
        <f t="shared" si="34"/>
        <v>45682</v>
      </c>
    </row>
    <row r="419" spans="1:14" x14ac:dyDescent="0.3">
      <c r="A419">
        <v>594</v>
      </c>
      <c r="B419">
        <v>10048</v>
      </c>
      <c r="C419" t="s">
        <v>617</v>
      </c>
      <c r="D419" t="s">
        <v>15</v>
      </c>
      <c r="E419" t="s">
        <v>24</v>
      </c>
      <c r="F419" t="s">
        <v>17</v>
      </c>
      <c r="G419" t="s">
        <v>18</v>
      </c>
      <c r="H419">
        <v>21703.43</v>
      </c>
      <c r="I419">
        <v>0</v>
      </c>
      <c r="J419" t="str">
        <f t="shared" si="30"/>
        <v>High</v>
      </c>
      <c r="K419" t="str">
        <f t="shared" si="31"/>
        <v>Normal</v>
      </c>
      <c r="L419">
        <f t="shared" si="32"/>
        <v>1</v>
      </c>
      <c r="M419">
        <f t="shared" si="33"/>
        <v>1</v>
      </c>
      <c r="N419" s="6">
        <f t="shared" si="34"/>
        <v>45682</v>
      </c>
    </row>
    <row r="420" spans="1:14" x14ac:dyDescent="0.3">
      <c r="A420">
        <v>595</v>
      </c>
      <c r="B420">
        <v>10098</v>
      </c>
      <c r="C420" t="s">
        <v>618</v>
      </c>
      <c r="D420" t="s">
        <v>29</v>
      </c>
      <c r="E420" t="s">
        <v>11</v>
      </c>
      <c r="F420" t="s">
        <v>17</v>
      </c>
      <c r="G420" t="s">
        <v>13</v>
      </c>
      <c r="H420">
        <v>20937.98</v>
      </c>
      <c r="I420">
        <v>0</v>
      </c>
      <c r="J420" t="str">
        <f t="shared" si="30"/>
        <v>High</v>
      </c>
      <c r="K420" t="str">
        <f t="shared" si="31"/>
        <v>Normal</v>
      </c>
      <c r="L420">
        <f t="shared" si="32"/>
        <v>1</v>
      </c>
      <c r="M420">
        <f t="shared" si="33"/>
        <v>1</v>
      </c>
      <c r="N420" s="6">
        <f t="shared" si="34"/>
        <v>45682</v>
      </c>
    </row>
    <row r="421" spans="1:14" x14ac:dyDescent="0.3">
      <c r="A421">
        <v>596</v>
      </c>
      <c r="B421">
        <v>10035</v>
      </c>
      <c r="C421" t="s">
        <v>619</v>
      </c>
      <c r="D421" t="s">
        <v>23</v>
      </c>
      <c r="E421" t="s">
        <v>16</v>
      </c>
      <c r="F421" t="s">
        <v>17</v>
      </c>
      <c r="G421" t="s">
        <v>13</v>
      </c>
      <c r="H421">
        <v>29709.56</v>
      </c>
      <c r="I421">
        <v>0</v>
      </c>
      <c r="J421" t="str">
        <f t="shared" si="30"/>
        <v>High</v>
      </c>
      <c r="K421" t="str">
        <f t="shared" si="31"/>
        <v>Normal</v>
      </c>
      <c r="L421">
        <f t="shared" si="32"/>
        <v>1</v>
      </c>
      <c r="M421">
        <f t="shared" si="33"/>
        <v>1</v>
      </c>
      <c r="N421" s="6">
        <f t="shared" si="34"/>
        <v>45682</v>
      </c>
    </row>
    <row r="422" spans="1:14" x14ac:dyDescent="0.3">
      <c r="A422">
        <v>597</v>
      </c>
      <c r="B422">
        <v>10081</v>
      </c>
      <c r="C422" t="s">
        <v>620</v>
      </c>
      <c r="D422" t="s">
        <v>23</v>
      </c>
      <c r="E422" t="s">
        <v>24</v>
      </c>
      <c r="F422" t="s">
        <v>17</v>
      </c>
      <c r="G422" t="s">
        <v>18</v>
      </c>
      <c r="H422">
        <v>91089.19</v>
      </c>
      <c r="I422">
        <v>0</v>
      </c>
      <c r="J422" t="str">
        <f t="shared" si="30"/>
        <v>High</v>
      </c>
      <c r="K422" t="str">
        <f t="shared" si="31"/>
        <v>Normal</v>
      </c>
      <c r="L422">
        <f t="shared" si="32"/>
        <v>1</v>
      </c>
      <c r="M422">
        <f t="shared" si="33"/>
        <v>1</v>
      </c>
      <c r="N422" s="6">
        <f t="shared" si="34"/>
        <v>45682</v>
      </c>
    </row>
    <row r="423" spans="1:14" x14ac:dyDescent="0.3">
      <c r="A423">
        <v>598</v>
      </c>
      <c r="B423">
        <v>10095</v>
      </c>
      <c r="C423" t="s">
        <v>621</v>
      </c>
      <c r="D423" t="s">
        <v>10</v>
      </c>
      <c r="E423" t="s">
        <v>11</v>
      </c>
      <c r="F423" t="s">
        <v>12</v>
      </c>
      <c r="G423" t="s">
        <v>13</v>
      </c>
      <c r="H423">
        <v>54786.74</v>
      </c>
      <c r="I423">
        <v>1</v>
      </c>
      <c r="J423" t="str">
        <f t="shared" si="30"/>
        <v>High</v>
      </c>
      <c r="K423" t="str">
        <f t="shared" si="31"/>
        <v>High Risk</v>
      </c>
      <c r="L423">
        <f t="shared" si="32"/>
        <v>1</v>
      </c>
      <c r="M423">
        <f t="shared" si="33"/>
        <v>1</v>
      </c>
      <c r="N423" s="6">
        <f t="shared" si="34"/>
        <v>45682</v>
      </c>
    </row>
    <row r="424" spans="1:14" x14ac:dyDescent="0.3">
      <c r="A424">
        <v>599</v>
      </c>
      <c r="B424">
        <v>10023</v>
      </c>
      <c r="C424" t="s">
        <v>622</v>
      </c>
      <c r="D424" t="s">
        <v>20</v>
      </c>
      <c r="E424" t="s">
        <v>11</v>
      </c>
      <c r="F424" t="s">
        <v>12</v>
      </c>
      <c r="G424" t="s">
        <v>31</v>
      </c>
      <c r="H424">
        <v>73417.149999999994</v>
      </c>
      <c r="I424">
        <v>1</v>
      </c>
      <c r="J424" t="str">
        <f t="shared" si="30"/>
        <v>High</v>
      </c>
      <c r="K424" t="str">
        <f t="shared" si="31"/>
        <v>High Risk</v>
      </c>
      <c r="L424">
        <f t="shared" si="32"/>
        <v>1</v>
      </c>
      <c r="M424">
        <f t="shared" si="33"/>
        <v>1</v>
      </c>
      <c r="N424" s="6">
        <f t="shared" si="34"/>
        <v>45682</v>
      </c>
    </row>
    <row r="425" spans="1:14" x14ac:dyDescent="0.3">
      <c r="A425">
        <v>600</v>
      </c>
      <c r="B425">
        <v>10022</v>
      </c>
      <c r="C425" t="s">
        <v>623</v>
      </c>
      <c r="D425" t="s">
        <v>23</v>
      </c>
      <c r="E425" t="s">
        <v>16</v>
      </c>
      <c r="F425" t="s">
        <v>17</v>
      </c>
      <c r="G425" t="s">
        <v>25</v>
      </c>
      <c r="H425">
        <v>34721.22</v>
      </c>
      <c r="I425">
        <v>0</v>
      </c>
      <c r="J425" t="str">
        <f t="shared" si="30"/>
        <v>High</v>
      </c>
      <c r="K425" t="str">
        <f t="shared" si="31"/>
        <v>Normal</v>
      </c>
      <c r="L425">
        <f t="shared" si="32"/>
        <v>1</v>
      </c>
      <c r="M425">
        <f t="shared" si="33"/>
        <v>1</v>
      </c>
      <c r="N425" s="6">
        <f t="shared" si="34"/>
        <v>45682</v>
      </c>
    </row>
    <row r="426" spans="1:14" x14ac:dyDescent="0.3">
      <c r="A426">
        <v>553</v>
      </c>
      <c r="B426">
        <v>10060</v>
      </c>
      <c r="C426" t="s">
        <v>576</v>
      </c>
      <c r="D426" t="s">
        <v>15</v>
      </c>
      <c r="E426" t="s">
        <v>16</v>
      </c>
      <c r="F426" t="s">
        <v>17</v>
      </c>
      <c r="G426" t="s">
        <v>13</v>
      </c>
      <c r="H426">
        <v>21448.44</v>
      </c>
      <c r="I426">
        <v>0</v>
      </c>
      <c r="J426" t="str">
        <f t="shared" si="30"/>
        <v>High</v>
      </c>
      <c r="K426" t="str">
        <f t="shared" si="31"/>
        <v>Normal</v>
      </c>
      <c r="L426">
        <f t="shared" si="32"/>
        <v>1</v>
      </c>
      <c r="M426">
        <f t="shared" si="33"/>
        <v>1</v>
      </c>
      <c r="N426" s="6">
        <f t="shared" si="34"/>
        <v>45681</v>
      </c>
    </row>
    <row r="427" spans="1:14" x14ac:dyDescent="0.3">
      <c r="A427">
        <v>554</v>
      </c>
      <c r="B427">
        <v>10050</v>
      </c>
      <c r="C427" t="s">
        <v>577</v>
      </c>
      <c r="D427" t="s">
        <v>15</v>
      </c>
      <c r="E427" t="s">
        <v>11</v>
      </c>
      <c r="F427" t="s">
        <v>12</v>
      </c>
      <c r="G427" t="s">
        <v>25</v>
      </c>
      <c r="H427">
        <v>42058.41</v>
      </c>
      <c r="I427">
        <v>0</v>
      </c>
      <c r="J427" t="str">
        <f t="shared" si="30"/>
        <v>High</v>
      </c>
      <c r="K427" t="str">
        <f t="shared" si="31"/>
        <v>Normal</v>
      </c>
      <c r="L427">
        <f t="shared" si="32"/>
        <v>1</v>
      </c>
      <c r="M427">
        <f t="shared" si="33"/>
        <v>1</v>
      </c>
      <c r="N427" s="6">
        <f t="shared" si="34"/>
        <v>45681</v>
      </c>
    </row>
    <row r="428" spans="1:14" x14ac:dyDescent="0.3">
      <c r="A428">
        <v>555</v>
      </c>
      <c r="B428">
        <v>10042</v>
      </c>
      <c r="C428" t="s">
        <v>578</v>
      </c>
      <c r="D428" t="s">
        <v>10</v>
      </c>
      <c r="E428" t="s">
        <v>11</v>
      </c>
      <c r="F428" t="s">
        <v>17</v>
      </c>
      <c r="G428" t="s">
        <v>25</v>
      </c>
      <c r="H428">
        <v>1067.72</v>
      </c>
      <c r="I428">
        <v>0</v>
      </c>
      <c r="J428" t="str">
        <f t="shared" si="30"/>
        <v>High</v>
      </c>
      <c r="K428" t="str">
        <f t="shared" si="31"/>
        <v>Normal</v>
      </c>
      <c r="L428">
        <f t="shared" si="32"/>
        <v>1</v>
      </c>
      <c r="M428">
        <f t="shared" si="33"/>
        <v>1</v>
      </c>
      <c r="N428" s="6">
        <f t="shared" si="34"/>
        <v>45681</v>
      </c>
    </row>
    <row r="429" spans="1:14" x14ac:dyDescent="0.3">
      <c r="A429">
        <v>556</v>
      </c>
      <c r="B429">
        <v>10011</v>
      </c>
      <c r="C429" t="s">
        <v>579</v>
      </c>
      <c r="D429" t="s">
        <v>23</v>
      </c>
      <c r="E429" t="s">
        <v>24</v>
      </c>
      <c r="F429" t="s">
        <v>17</v>
      </c>
      <c r="G429" t="s">
        <v>21</v>
      </c>
      <c r="H429">
        <v>85809.71</v>
      </c>
      <c r="I429">
        <v>0</v>
      </c>
      <c r="J429" t="str">
        <f t="shared" si="30"/>
        <v>High</v>
      </c>
      <c r="K429" t="str">
        <f t="shared" si="31"/>
        <v>Normal</v>
      </c>
      <c r="L429">
        <f t="shared" si="32"/>
        <v>1</v>
      </c>
      <c r="M429">
        <f t="shared" si="33"/>
        <v>1</v>
      </c>
      <c r="N429" s="6">
        <f t="shared" si="34"/>
        <v>45681</v>
      </c>
    </row>
    <row r="430" spans="1:14" x14ac:dyDescent="0.3">
      <c r="A430">
        <v>557</v>
      </c>
      <c r="B430">
        <v>10066</v>
      </c>
      <c r="C430" t="s">
        <v>580</v>
      </c>
      <c r="D430" t="s">
        <v>29</v>
      </c>
      <c r="E430" t="s">
        <v>16</v>
      </c>
      <c r="F430" t="s">
        <v>17</v>
      </c>
      <c r="G430" t="s">
        <v>13</v>
      </c>
      <c r="H430">
        <v>73142.62</v>
      </c>
      <c r="I430">
        <v>0</v>
      </c>
      <c r="J430" t="str">
        <f t="shared" si="30"/>
        <v>High</v>
      </c>
      <c r="K430" t="str">
        <f t="shared" si="31"/>
        <v>Normal</v>
      </c>
      <c r="L430">
        <f t="shared" si="32"/>
        <v>1</v>
      </c>
      <c r="M430">
        <f t="shared" si="33"/>
        <v>1</v>
      </c>
      <c r="N430" s="6">
        <f t="shared" si="34"/>
        <v>45681</v>
      </c>
    </row>
    <row r="431" spans="1:14" x14ac:dyDescent="0.3">
      <c r="A431">
        <v>558</v>
      </c>
      <c r="B431">
        <v>10064</v>
      </c>
      <c r="C431" t="s">
        <v>581</v>
      </c>
      <c r="D431" t="s">
        <v>29</v>
      </c>
      <c r="E431" t="s">
        <v>24</v>
      </c>
      <c r="F431" t="s">
        <v>12</v>
      </c>
      <c r="G431" t="s">
        <v>25</v>
      </c>
      <c r="H431">
        <v>94680.93</v>
      </c>
      <c r="I431">
        <v>0</v>
      </c>
      <c r="J431" t="str">
        <f t="shared" si="30"/>
        <v>High</v>
      </c>
      <c r="K431" t="str">
        <f t="shared" si="31"/>
        <v>Normal</v>
      </c>
      <c r="L431">
        <f t="shared" si="32"/>
        <v>1</v>
      </c>
      <c r="M431">
        <f t="shared" si="33"/>
        <v>1</v>
      </c>
      <c r="N431" s="6">
        <f t="shared" si="34"/>
        <v>45681</v>
      </c>
    </row>
    <row r="432" spans="1:14" x14ac:dyDescent="0.3">
      <c r="A432">
        <v>559</v>
      </c>
      <c r="B432">
        <v>10032</v>
      </c>
      <c r="C432" t="s">
        <v>582</v>
      </c>
      <c r="D432" t="s">
        <v>15</v>
      </c>
      <c r="E432" t="s">
        <v>16</v>
      </c>
      <c r="F432" t="s">
        <v>12</v>
      </c>
      <c r="G432" t="s">
        <v>31</v>
      </c>
      <c r="H432">
        <v>78183.39</v>
      </c>
      <c r="I432">
        <v>0</v>
      </c>
      <c r="J432" t="str">
        <f t="shared" si="30"/>
        <v>High</v>
      </c>
      <c r="K432" t="str">
        <f t="shared" si="31"/>
        <v>Normal</v>
      </c>
      <c r="L432">
        <f t="shared" si="32"/>
        <v>1</v>
      </c>
      <c r="M432">
        <f t="shared" si="33"/>
        <v>1</v>
      </c>
      <c r="N432" s="6">
        <f t="shared" si="34"/>
        <v>45681</v>
      </c>
    </row>
    <row r="433" spans="1:14" x14ac:dyDescent="0.3">
      <c r="A433">
        <v>560</v>
      </c>
      <c r="B433">
        <v>10039</v>
      </c>
      <c r="C433" t="s">
        <v>583</v>
      </c>
      <c r="D433" t="s">
        <v>15</v>
      </c>
      <c r="E433" t="s">
        <v>11</v>
      </c>
      <c r="F433" t="s">
        <v>17</v>
      </c>
      <c r="G433" t="s">
        <v>25</v>
      </c>
      <c r="H433">
        <v>31439.279999999999</v>
      </c>
      <c r="I433">
        <v>0</v>
      </c>
      <c r="J433" t="str">
        <f t="shared" si="30"/>
        <v>High</v>
      </c>
      <c r="K433" t="str">
        <f t="shared" si="31"/>
        <v>Normal</v>
      </c>
      <c r="L433">
        <f t="shared" si="32"/>
        <v>1</v>
      </c>
      <c r="M433">
        <f t="shared" si="33"/>
        <v>1</v>
      </c>
      <c r="N433" s="6">
        <f t="shared" si="34"/>
        <v>45681</v>
      </c>
    </row>
    <row r="434" spans="1:14" x14ac:dyDescent="0.3">
      <c r="A434">
        <v>561</v>
      </c>
      <c r="B434">
        <v>10073</v>
      </c>
      <c r="C434" t="s">
        <v>584</v>
      </c>
      <c r="D434" t="s">
        <v>23</v>
      </c>
      <c r="E434" t="s">
        <v>24</v>
      </c>
      <c r="F434" t="s">
        <v>12</v>
      </c>
      <c r="G434" t="s">
        <v>25</v>
      </c>
      <c r="H434">
        <v>24862.55</v>
      </c>
      <c r="I434">
        <v>0</v>
      </c>
      <c r="J434" t="str">
        <f t="shared" si="30"/>
        <v>High</v>
      </c>
      <c r="K434" t="str">
        <f t="shared" si="31"/>
        <v>Normal</v>
      </c>
      <c r="L434">
        <f t="shared" si="32"/>
        <v>1</v>
      </c>
      <c r="M434">
        <f t="shared" si="33"/>
        <v>1</v>
      </c>
      <c r="N434" s="6">
        <f t="shared" si="34"/>
        <v>45681</v>
      </c>
    </row>
    <row r="435" spans="1:14" x14ac:dyDescent="0.3">
      <c r="A435">
        <v>562</v>
      </c>
      <c r="B435">
        <v>10042</v>
      </c>
      <c r="C435" t="s">
        <v>585</v>
      </c>
      <c r="D435" t="s">
        <v>20</v>
      </c>
      <c r="E435" t="s">
        <v>24</v>
      </c>
      <c r="F435" t="s">
        <v>12</v>
      </c>
      <c r="G435" t="s">
        <v>13</v>
      </c>
      <c r="H435">
        <v>69801.86</v>
      </c>
      <c r="I435">
        <v>0</v>
      </c>
      <c r="J435" t="str">
        <f t="shared" si="30"/>
        <v>High</v>
      </c>
      <c r="K435" t="str">
        <f t="shared" si="31"/>
        <v>Normal</v>
      </c>
      <c r="L435">
        <f t="shared" si="32"/>
        <v>1</v>
      </c>
      <c r="M435">
        <f t="shared" si="33"/>
        <v>1</v>
      </c>
      <c r="N435" s="6">
        <f t="shared" si="34"/>
        <v>45681</v>
      </c>
    </row>
    <row r="436" spans="1:14" x14ac:dyDescent="0.3">
      <c r="A436">
        <v>563</v>
      </c>
      <c r="B436">
        <v>10043</v>
      </c>
      <c r="C436" t="s">
        <v>586</v>
      </c>
      <c r="D436" t="s">
        <v>10</v>
      </c>
      <c r="E436" t="s">
        <v>11</v>
      </c>
      <c r="F436" t="s">
        <v>12</v>
      </c>
      <c r="G436" t="s">
        <v>13</v>
      </c>
      <c r="H436">
        <v>36474.870000000003</v>
      </c>
      <c r="I436">
        <v>0</v>
      </c>
      <c r="J436" t="str">
        <f t="shared" si="30"/>
        <v>High</v>
      </c>
      <c r="K436" t="str">
        <f t="shared" si="31"/>
        <v>Normal</v>
      </c>
      <c r="L436">
        <f t="shared" si="32"/>
        <v>1</v>
      </c>
      <c r="M436">
        <f t="shared" si="33"/>
        <v>1</v>
      </c>
      <c r="N436" s="6">
        <f t="shared" si="34"/>
        <v>45681</v>
      </c>
    </row>
    <row r="437" spans="1:14" x14ac:dyDescent="0.3">
      <c r="A437">
        <v>564</v>
      </c>
      <c r="B437">
        <v>10028</v>
      </c>
      <c r="C437" t="s">
        <v>587</v>
      </c>
      <c r="D437" t="s">
        <v>15</v>
      </c>
      <c r="E437" t="s">
        <v>11</v>
      </c>
      <c r="F437" t="s">
        <v>12</v>
      </c>
      <c r="G437" t="s">
        <v>18</v>
      </c>
      <c r="H437">
        <v>56664.88</v>
      </c>
      <c r="I437">
        <v>1</v>
      </c>
      <c r="J437" t="str">
        <f t="shared" si="30"/>
        <v>High</v>
      </c>
      <c r="K437" t="str">
        <f t="shared" si="31"/>
        <v>High Risk</v>
      </c>
      <c r="L437">
        <f t="shared" si="32"/>
        <v>1</v>
      </c>
      <c r="M437">
        <f t="shared" si="33"/>
        <v>1</v>
      </c>
      <c r="N437" s="6">
        <f t="shared" si="34"/>
        <v>45681</v>
      </c>
    </row>
    <row r="438" spans="1:14" x14ac:dyDescent="0.3">
      <c r="A438">
        <v>565</v>
      </c>
      <c r="B438">
        <v>10012</v>
      </c>
      <c r="C438" t="s">
        <v>588</v>
      </c>
      <c r="D438" t="s">
        <v>29</v>
      </c>
      <c r="E438" t="s">
        <v>11</v>
      </c>
      <c r="F438" t="s">
        <v>12</v>
      </c>
      <c r="G438" t="s">
        <v>31</v>
      </c>
      <c r="H438">
        <v>725.12</v>
      </c>
      <c r="I438">
        <v>0</v>
      </c>
      <c r="J438" t="str">
        <f t="shared" si="30"/>
        <v>High</v>
      </c>
      <c r="K438" t="str">
        <f t="shared" si="31"/>
        <v>Normal</v>
      </c>
      <c r="L438">
        <f t="shared" si="32"/>
        <v>1</v>
      </c>
      <c r="M438">
        <f t="shared" si="33"/>
        <v>1</v>
      </c>
      <c r="N438" s="6">
        <f t="shared" si="34"/>
        <v>45681</v>
      </c>
    </row>
    <row r="439" spans="1:14" x14ac:dyDescent="0.3">
      <c r="A439">
        <v>566</v>
      </c>
      <c r="B439">
        <v>10011</v>
      </c>
      <c r="C439" t="s">
        <v>589</v>
      </c>
      <c r="D439" t="s">
        <v>23</v>
      </c>
      <c r="E439" t="s">
        <v>24</v>
      </c>
      <c r="F439" t="s">
        <v>12</v>
      </c>
      <c r="G439" t="s">
        <v>13</v>
      </c>
      <c r="H439">
        <v>6282.38</v>
      </c>
      <c r="I439">
        <v>0</v>
      </c>
      <c r="J439" t="str">
        <f t="shared" si="30"/>
        <v>High</v>
      </c>
      <c r="K439" t="str">
        <f t="shared" si="31"/>
        <v>Normal</v>
      </c>
      <c r="L439">
        <f t="shared" si="32"/>
        <v>1</v>
      </c>
      <c r="M439">
        <f t="shared" si="33"/>
        <v>1</v>
      </c>
      <c r="N439" s="6">
        <f t="shared" si="34"/>
        <v>45681</v>
      </c>
    </row>
    <row r="440" spans="1:14" x14ac:dyDescent="0.3">
      <c r="A440">
        <v>567</v>
      </c>
      <c r="B440">
        <v>10094</v>
      </c>
      <c r="C440" t="s">
        <v>590</v>
      </c>
      <c r="D440" t="s">
        <v>10</v>
      </c>
      <c r="E440" t="s">
        <v>16</v>
      </c>
      <c r="F440" t="s">
        <v>12</v>
      </c>
      <c r="G440" t="s">
        <v>21</v>
      </c>
      <c r="H440">
        <v>53583.26</v>
      </c>
      <c r="I440">
        <v>0</v>
      </c>
      <c r="J440" t="str">
        <f t="shared" si="30"/>
        <v>High</v>
      </c>
      <c r="K440" t="str">
        <f t="shared" si="31"/>
        <v>Normal</v>
      </c>
      <c r="L440">
        <f t="shared" si="32"/>
        <v>1</v>
      </c>
      <c r="M440">
        <f t="shared" si="33"/>
        <v>1</v>
      </c>
      <c r="N440" s="6">
        <f t="shared" si="34"/>
        <v>45681</v>
      </c>
    </row>
    <row r="441" spans="1:14" x14ac:dyDescent="0.3">
      <c r="A441">
        <v>568</v>
      </c>
      <c r="B441">
        <v>10045</v>
      </c>
      <c r="C441" t="s">
        <v>591</v>
      </c>
      <c r="D441" t="s">
        <v>23</v>
      </c>
      <c r="E441" t="s">
        <v>24</v>
      </c>
      <c r="F441" t="s">
        <v>17</v>
      </c>
      <c r="G441" t="s">
        <v>31</v>
      </c>
      <c r="H441">
        <v>56650.559999999998</v>
      </c>
      <c r="I441">
        <v>0</v>
      </c>
      <c r="J441" t="str">
        <f t="shared" si="30"/>
        <v>High</v>
      </c>
      <c r="K441" t="str">
        <f t="shared" si="31"/>
        <v>Normal</v>
      </c>
      <c r="L441">
        <f t="shared" si="32"/>
        <v>1</v>
      </c>
      <c r="M441">
        <f t="shared" si="33"/>
        <v>1</v>
      </c>
      <c r="N441" s="6">
        <f t="shared" si="34"/>
        <v>45681</v>
      </c>
    </row>
    <row r="442" spans="1:14" x14ac:dyDescent="0.3">
      <c r="A442">
        <v>569</v>
      </c>
      <c r="B442">
        <v>10001</v>
      </c>
      <c r="C442" t="s">
        <v>592</v>
      </c>
      <c r="D442" t="s">
        <v>10</v>
      </c>
      <c r="E442" t="s">
        <v>16</v>
      </c>
      <c r="F442" t="s">
        <v>17</v>
      </c>
      <c r="G442" t="s">
        <v>31</v>
      </c>
      <c r="H442">
        <v>75170.149999999994</v>
      </c>
      <c r="I442">
        <v>0</v>
      </c>
      <c r="J442" t="str">
        <f t="shared" si="30"/>
        <v>High</v>
      </c>
      <c r="K442" t="str">
        <f t="shared" si="31"/>
        <v>Normal</v>
      </c>
      <c r="L442">
        <f t="shared" si="32"/>
        <v>1</v>
      </c>
      <c r="M442">
        <f t="shared" si="33"/>
        <v>1</v>
      </c>
      <c r="N442" s="6">
        <f t="shared" si="34"/>
        <v>45681</v>
      </c>
    </row>
    <row r="443" spans="1:14" x14ac:dyDescent="0.3">
      <c r="A443">
        <v>570</v>
      </c>
      <c r="B443">
        <v>10034</v>
      </c>
      <c r="C443" t="s">
        <v>593</v>
      </c>
      <c r="D443" t="s">
        <v>10</v>
      </c>
      <c r="E443" t="s">
        <v>24</v>
      </c>
      <c r="F443" t="s">
        <v>12</v>
      </c>
      <c r="G443" t="s">
        <v>13</v>
      </c>
      <c r="H443">
        <v>13283.34</v>
      </c>
      <c r="I443">
        <v>0</v>
      </c>
      <c r="J443" t="str">
        <f t="shared" si="30"/>
        <v>High</v>
      </c>
      <c r="K443" t="str">
        <f t="shared" si="31"/>
        <v>Normal</v>
      </c>
      <c r="L443">
        <f t="shared" si="32"/>
        <v>1</v>
      </c>
      <c r="M443">
        <f t="shared" si="33"/>
        <v>1</v>
      </c>
      <c r="N443" s="6">
        <f t="shared" si="34"/>
        <v>45681</v>
      </c>
    </row>
    <row r="444" spans="1:14" x14ac:dyDescent="0.3">
      <c r="A444">
        <v>571</v>
      </c>
      <c r="B444">
        <v>10086</v>
      </c>
      <c r="C444" t="s">
        <v>594</v>
      </c>
      <c r="D444" t="s">
        <v>15</v>
      </c>
      <c r="E444" t="s">
        <v>24</v>
      </c>
      <c r="F444" t="s">
        <v>17</v>
      </c>
      <c r="G444" t="s">
        <v>31</v>
      </c>
      <c r="H444">
        <v>51366.99</v>
      </c>
      <c r="I444">
        <v>0</v>
      </c>
      <c r="J444" t="str">
        <f t="shared" si="30"/>
        <v>High</v>
      </c>
      <c r="K444" t="str">
        <f t="shared" si="31"/>
        <v>Normal</v>
      </c>
      <c r="L444">
        <f t="shared" si="32"/>
        <v>1</v>
      </c>
      <c r="M444">
        <f t="shared" si="33"/>
        <v>1</v>
      </c>
      <c r="N444" s="6">
        <f t="shared" si="34"/>
        <v>45681</v>
      </c>
    </row>
    <row r="445" spans="1:14" x14ac:dyDescent="0.3">
      <c r="A445">
        <v>572</v>
      </c>
      <c r="B445">
        <v>10080</v>
      </c>
      <c r="C445" t="s">
        <v>595</v>
      </c>
      <c r="D445" t="s">
        <v>23</v>
      </c>
      <c r="E445" t="s">
        <v>11</v>
      </c>
      <c r="F445" t="s">
        <v>17</v>
      </c>
      <c r="G445" t="s">
        <v>13</v>
      </c>
      <c r="H445">
        <v>19525.32</v>
      </c>
      <c r="I445">
        <v>0</v>
      </c>
      <c r="J445" t="str">
        <f t="shared" si="30"/>
        <v>High</v>
      </c>
      <c r="K445" t="str">
        <f t="shared" si="31"/>
        <v>Normal</v>
      </c>
      <c r="L445">
        <f t="shared" si="32"/>
        <v>1</v>
      </c>
      <c r="M445">
        <f t="shared" si="33"/>
        <v>1</v>
      </c>
      <c r="N445" s="6">
        <f t="shared" si="34"/>
        <v>45681</v>
      </c>
    </row>
    <row r="446" spans="1:14" x14ac:dyDescent="0.3">
      <c r="A446">
        <v>573</v>
      </c>
      <c r="B446">
        <v>10089</v>
      </c>
      <c r="C446" t="s">
        <v>596</v>
      </c>
      <c r="D446" t="s">
        <v>23</v>
      </c>
      <c r="E446" t="s">
        <v>16</v>
      </c>
      <c r="F446" t="s">
        <v>12</v>
      </c>
      <c r="G446" t="s">
        <v>25</v>
      </c>
      <c r="H446">
        <v>9410.2900000000009</v>
      </c>
      <c r="I446">
        <v>0</v>
      </c>
      <c r="J446" t="str">
        <f t="shared" si="30"/>
        <v>High</v>
      </c>
      <c r="K446" t="str">
        <f t="shared" si="31"/>
        <v>Normal</v>
      </c>
      <c r="L446">
        <f t="shared" si="32"/>
        <v>1</v>
      </c>
      <c r="M446">
        <f t="shared" si="33"/>
        <v>1</v>
      </c>
      <c r="N446" s="6">
        <f t="shared" si="34"/>
        <v>45681</v>
      </c>
    </row>
    <row r="447" spans="1:14" x14ac:dyDescent="0.3">
      <c r="A447">
        <v>574</v>
      </c>
      <c r="B447">
        <v>10007</v>
      </c>
      <c r="C447" t="s">
        <v>597</v>
      </c>
      <c r="D447" t="s">
        <v>29</v>
      </c>
      <c r="E447" t="s">
        <v>24</v>
      </c>
      <c r="F447" t="s">
        <v>17</v>
      </c>
      <c r="G447" t="s">
        <v>18</v>
      </c>
      <c r="H447">
        <v>41108.53</v>
      </c>
      <c r="I447">
        <v>0</v>
      </c>
      <c r="J447" t="str">
        <f t="shared" si="30"/>
        <v>High</v>
      </c>
      <c r="K447" t="str">
        <f t="shared" si="31"/>
        <v>Normal</v>
      </c>
      <c r="L447">
        <f t="shared" si="32"/>
        <v>1</v>
      </c>
      <c r="M447">
        <f t="shared" si="33"/>
        <v>1</v>
      </c>
      <c r="N447" s="6">
        <f t="shared" si="34"/>
        <v>45681</v>
      </c>
    </row>
    <row r="448" spans="1:14" x14ac:dyDescent="0.3">
      <c r="A448">
        <v>575</v>
      </c>
      <c r="B448">
        <v>10092</v>
      </c>
      <c r="C448" t="s">
        <v>598</v>
      </c>
      <c r="D448" t="s">
        <v>29</v>
      </c>
      <c r="E448" t="s">
        <v>24</v>
      </c>
      <c r="F448" t="s">
        <v>12</v>
      </c>
      <c r="G448" t="s">
        <v>25</v>
      </c>
      <c r="H448">
        <v>16417.330000000002</v>
      </c>
      <c r="I448">
        <v>0</v>
      </c>
      <c r="J448" t="str">
        <f t="shared" si="30"/>
        <v>High</v>
      </c>
      <c r="K448" t="str">
        <f t="shared" si="31"/>
        <v>Normal</v>
      </c>
      <c r="L448">
        <f t="shared" si="32"/>
        <v>1</v>
      </c>
      <c r="M448">
        <f t="shared" si="33"/>
        <v>1</v>
      </c>
      <c r="N448" s="6">
        <f t="shared" si="34"/>
        <v>45681</v>
      </c>
    </row>
    <row r="449" spans="1:14" x14ac:dyDescent="0.3">
      <c r="A449">
        <v>576</v>
      </c>
      <c r="B449">
        <v>10025</v>
      </c>
      <c r="C449" t="s">
        <v>599</v>
      </c>
      <c r="D449" t="s">
        <v>15</v>
      </c>
      <c r="E449" t="s">
        <v>11</v>
      </c>
      <c r="F449" t="s">
        <v>12</v>
      </c>
      <c r="G449" t="s">
        <v>13</v>
      </c>
      <c r="H449">
        <v>22256.02</v>
      </c>
      <c r="I449">
        <v>0</v>
      </c>
      <c r="J449" t="str">
        <f t="shared" si="30"/>
        <v>High</v>
      </c>
      <c r="K449" t="str">
        <f t="shared" si="31"/>
        <v>Normal</v>
      </c>
      <c r="L449">
        <f t="shared" si="32"/>
        <v>1</v>
      </c>
      <c r="M449">
        <f t="shared" si="33"/>
        <v>1</v>
      </c>
      <c r="N449" s="6">
        <f t="shared" si="34"/>
        <v>45681</v>
      </c>
    </row>
    <row r="450" spans="1:14" x14ac:dyDescent="0.3">
      <c r="A450">
        <v>529</v>
      </c>
      <c r="B450">
        <v>10033</v>
      </c>
      <c r="C450" t="s">
        <v>552</v>
      </c>
      <c r="D450" t="s">
        <v>23</v>
      </c>
      <c r="E450" t="s">
        <v>16</v>
      </c>
      <c r="F450" t="s">
        <v>12</v>
      </c>
      <c r="G450" t="s">
        <v>18</v>
      </c>
      <c r="H450">
        <v>49739.86</v>
      </c>
      <c r="I450">
        <v>0</v>
      </c>
      <c r="J450" t="str">
        <f t="shared" ref="J450:J513" si="35">IF(E450&gt;50000,"High","Normal")</f>
        <v>High</v>
      </c>
      <c r="K450" t="str">
        <f t="shared" ref="K450:K513" si="36">IF(AND(H450&gt;50000,E450="Online"),"High Risk","Normal")</f>
        <v>Normal</v>
      </c>
      <c r="L450">
        <f t="shared" ref="L450:L513" si="37">COUNTIFS(C:C,C450,B:B,B450)</f>
        <v>1</v>
      </c>
      <c r="M450">
        <f t="shared" ref="M450:M513" si="38">IF(E450&gt;50000,1,0) + IF(H450="Unusual",1,0) + IF(I450&gt;3,1,0)</f>
        <v>1</v>
      </c>
      <c r="N450" s="6">
        <f t="shared" ref="N450:N513" si="39">INT(C450)</f>
        <v>45680</v>
      </c>
    </row>
    <row r="451" spans="1:14" x14ac:dyDescent="0.3">
      <c r="A451">
        <v>530</v>
      </c>
      <c r="B451">
        <v>10051</v>
      </c>
      <c r="C451" t="s">
        <v>553</v>
      </c>
      <c r="D451" t="s">
        <v>10</v>
      </c>
      <c r="E451" t="s">
        <v>16</v>
      </c>
      <c r="F451" t="s">
        <v>17</v>
      </c>
      <c r="G451" t="s">
        <v>25</v>
      </c>
      <c r="H451">
        <v>91702.51</v>
      </c>
      <c r="I451">
        <v>0</v>
      </c>
      <c r="J451" t="str">
        <f t="shared" si="35"/>
        <v>High</v>
      </c>
      <c r="K451" t="str">
        <f t="shared" si="36"/>
        <v>Normal</v>
      </c>
      <c r="L451">
        <f t="shared" si="37"/>
        <v>1</v>
      </c>
      <c r="M451">
        <f t="shared" si="38"/>
        <v>1</v>
      </c>
      <c r="N451" s="6">
        <f t="shared" si="39"/>
        <v>45680</v>
      </c>
    </row>
    <row r="452" spans="1:14" x14ac:dyDescent="0.3">
      <c r="A452">
        <v>531</v>
      </c>
      <c r="B452">
        <v>10094</v>
      </c>
      <c r="C452" t="s">
        <v>554</v>
      </c>
      <c r="D452" t="s">
        <v>29</v>
      </c>
      <c r="E452" t="s">
        <v>11</v>
      </c>
      <c r="F452" t="s">
        <v>12</v>
      </c>
      <c r="G452" t="s">
        <v>25</v>
      </c>
      <c r="H452">
        <v>77651.42</v>
      </c>
      <c r="I452">
        <v>1</v>
      </c>
      <c r="J452" t="str">
        <f t="shared" si="35"/>
        <v>High</v>
      </c>
      <c r="K452" t="str">
        <f t="shared" si="36"/>
        <v>High Risk</v>
      </c>
      <c r="L452">
        <f t="shared" si="37"/>
        <v>1</v>
      </c>
      <c r="M452">
        <f t="shared" si="38"/>
        <v>1</v>
      </c>
      <c r="N452" s="6">
        <f t="shared" si="39"/>
        <v>45680</v>
      </c>
    </row>
    <row r="453" spans="1:14" x14ac:dyDescent="0.3">
      <c r="A453">
        <v>532</v>
      </c>
      <c r="B453">
        <v>10009</v>
      </c>
      <c r="C453" t="s">
        <v>555</v>
      </c>
      <c r="D453" t="s">
        <v>29</v>
      </c>
      <c r="E453" t="s">
        <v>11</v>
      </c>
      <c r="F453" t="s">
        <v>12</v>
      </c>
      <c r="G453" t="s">
        <v>21</v>
      </c>
      <c r="H453">
        <v>13137.08</v>
      </c>
      <c r="I453">
        <v>0</v>
      </c>
      <c r="J453" t="str">
        <f t="shared" si="35"/>
        <v>High</v>
      </c>
      <c r="K453" t="str">
        <f t="shared" si="36"/>
        <v>Normal</v>
      </c>
      <c r="L453">
        <f t="shared" si="37"/>
        <v>1</v>
      </c>
      <c r="M453">
        <f t="shared" si="38"/>
        <v>1</v>
      </c>
      <c r="N453" s="6">
        <f t="shared" si="39"/>
        <v>45680</v>
      </c>
    </row>
    <row r="454" spans="1:14" x14ac:dyDescent="0.3">
      <c r="A454">
        <v>533</v>
      </c>
      <c r="B454">
        <v>10018</v>
      </c>
      <c r="C454" t="s">
        <v>556</v>
      </c>
      <c r="D454" t="s">
        <v>29</v>
      </c>
      <c r="E454" t="s">
        <v>11</v>
      </c>
      <c r="F454" t="s">
        <v>12</v>
      </c>
      <c r="G454" t="s">
        <v>21</v>
      </c>
      <c r="H454">
        <v>56585.45</v>
      </c>
      <c r="I454">
        <v>1</v>
      </c>
      <c r="J454" t="str">
        <f t="shared" si="35"/>
        <v>High</v>
      </c>
      <c r="K454" t="str">
        <f t="shared" si="36"/>
        <v>High Risk</v>
      </c>
      <c r="L454">
        <f t="shared" si="37"/>
        <v>1</v>
      </c>
      <c r="M454">
        <f t="shared" si="38"/>
        <v>1</v>
      </c>
      <c r="N454" s="6">
        <f t="shared" si="39"/>
        <v>45680</v>
      </c>
    </row>
    <row r="455" spans="1:14" x14ac:dyDescent="0.3">
      <c r="A455">
        <v>534</v>
      </c>
      <c r="B455">
        <v>10057</v>
      </c>
      <c r="C455" t="s">
        <v>557</v>
      </c>
      <c r="D455" t="s">
        <v>23</v>
      </c>
      <c r="E455" t="s">
        <v>24</v>
      </c>
      <c r="F455" t="s">
        <v>17</v>
      </c>
      <c r="G455" t="s">
        <v>25</v>
      </c>
      <c r="H455">
        <v>44281</v>
      </c>
      <c r="I455">
        <v>0</v>
      </c>
      <c r="J455" t="str">
        <f t="shared" si="35"/>
        <v>High</v>
      </c>
      <c r="K455" t="str">
        <f t="shared" si="36"/>
        <v>Normal</v>
      </c>
      <c r="L455">
        <f t="shared" si="37"/>
        <v>1</v>
      </c>
      <c r="M455">
        <f t="shared" si="38"/>
        <v>1</v>
      </c>
      <c r="N455" s="6">
        <f t="shared" si="39"/>
        <v>45680</v>
      </c>
    </row>
    <row r="456" spans="1:14" x14ac:dyDescent="0.3">
      <c r="A456">
        <v>535</v>
      </c>
      <c r="B456">
        <v>10095</v>
      </c>
      <c r="C456" t="s">
        <v>558</v>
      </c>
      <c r="D456" t="s">
        <v>20</v>
      </c>
      <c r="E456" t="s">
        <v>16</v>
      </c>
      <c r="F456" t="s">
        <v>17</v>
      </c>
      <c r="G456" t="s">
        <v>18</v>
      </c>
      <c r="H456">
        <v>79741.39</v>
      </c>
      <c r="I456">
        <v>0</v>
      </c>
      <c r="J456" t="str">
        <f t="shared" si="35"/>
        <v>High</v>
      </c>
      <c r="K456" t="str">
        <f t="shared" si="36"/>
        <v>Normal</v>
      </c>
      <c r="L456">
        <f t="shared" si="37"/>
        <v>1</v>
      </c>
      <c r="M456">
        <f t="shared" si="38"/>
        <v>1</v>
      </c>
      <c r="N456" s="6">
        <f t="shared" si="39"/>
        <v>45680</v>
      </c>
    </row>
    <row r="457" spans="1:14" x14ac:dyDescent="0.3">
      <c r="A457">
        <v>536</v>
      </c>
      <c r="B457">
        <v>10000</v>
      </c>
      <c r="C457" t="s">
        <v>559</v>
      </c>
      <c r="D457" t="s">
        <v>23</v>
      </c>
      <c r="E457" t="s">
        <v>24</v>
      </c>
      <c r="F457" t="s">
        <v>12</v>
      </c>
      <c r="G457" t="s">
        <v>25</v>
      </c>
      <c r="H457">
        <v>72450.83</v>
      </c>
      <c r="I457">
        <v>0</v>
      </c>
      <c r="J457" t="str">
        <f t="shared" si="35"/>
        <v>High</v>
      </c>
      <c r="K457" t="str">
        <f t="shared" si="36"/>
        <v>Normal</v>
      </c>
      <c r="L457">
        <f t="shared" si="37"/>
        <v>1</v>
      </c>
      <c r="M457">
        <f t="shared" si="38"/>
        <v>1</v>
      </c>
      <c r="N457" s="6">
        <f t="shared" si="39"/>
        <v>45680</v>
      </c>
    </row>
    <row r="458" spans="1:14" x14ac:dyDescent="0.3">
      <c r="A458">
        <v>537</v>
      </c>
      <c r="B458">
        <v>10068</v>
      </c>
      <c r="C458" t="s">
        <v>560</v>
      </c>
      <c r="D458" t="s">
        <v>29</v>
      </c>
      <c r="E458" t="s">
        <v>16</v>
      </c>
      <c r="F458" t="s">
        <v>17</v>
      </c>
      <c r="G458" t="s">
        <v>21</v>
      </c>
      <c r="H458">
        <v>69071.53</v>
      </c>
      <c r="I458">
        <v>0</v>
      </c>
      <c r="J458" t="str">
        <f t="shared" si="35"/>
        <v>High</v>
      </c>
      <c r="K458" t="str">
        <f t="shared" si="36"/>
        <v>Normal</v>
      </c>
      <c r="L458">
        <f t="shared" si="37"/>
        <v>1</v>
      </c>
      <c r="M458">
        <f t="shared" si="38"/>
        <v>1</v>
      </c>
      <c r="N458" s="6">
        <f t="shared" si="39"/>
        <v>45680</v>
      </c>
    </row>
    <row r="459" spans="1:14" x14ac:dyDescent="0.3">
      <c r="A459">
        <v>538</v>
      </c>
      <c r="B459">
        <v>10003</v>
      </c>
      <c r="C459" t="s">
        <v>561</v>
      </c>
      <c r="D459" t="s">
        <v>10</v>
      </c>
      <c r="E459" t="s">
        <v>16</v>
      </c>
      <c r="F459" t="s">
        <v>12</v>
      </c>
      <c r="G459" t="s">
        <v>25</v>
      </c>
      <c r="H459">
        <v>34120.43</v>
      </c>
      <c r="I459">
        <v>0</v>
      </c>
      <c r="J459" t="str">
        <f t="shared" si="35"/>
        <v>High</v>
      </c>
      <c r="K459" t="str">
        <f t="shared" si="36"/>
        <v>Normal</v>
      </c>
      <c r="L459">
        <f t="shared" si="37"/>
        <v>1</v>
      </c>
      <c r="M459">
        <f t="shared" si="38"/>
        <v>1</v>
      </c>
      <c r="N459" s="6">
        <f t="shared" si="39"/>
        <v>45680</v>
      </c>
    </row>
    <row r="460" spans="1:14" x14ac:dyDescent="0.3">
      <c r="A460">
        <v>539</v>
      </c>
      <c r="B460">
        <v>10015</v>
      </c>
      <c r="C460" t="s">
        <v>562</v>
      </c>
      <c r="D460" t="s">
        <v>15</v>
      </c>
      <c r="E460" t="s">
        <v>16</v>
      </c>
      <c r="F460" t="s">
        <v>17</v>
      </c>
      <c r="G460" t="s">
        <v>25</v>
      </c>
      <c r="H460">
        <v>80515.88</v>
      </c>
      <c r="I460">
        <v>0</v>
      </c>
      <c r="J460" t="str">
        <f t="shared" si="35"/>
        <v>High</v>
      </c>
      <c r="K460" t="str">
        <f t="shared" si="36"/>
        <v>Normal</v>
      </c>
      <c r="L460">
        <f t="shared" si="37"/>
        <v>1</v>
      </c>
      <c r="M460">
        <f t="shared" si="38"/>
        <v>1</v>
      </c>
      <c r="N460" s="6">
        <f t="shared" si="39"/>
        <v>45680</v>
      </c>
    </row>
    <row r="461" spans="1:14" x14ac:dyDescent="0.3">
      <c r="A461">
        <v>540</v>
      </c>
      <c r="B461">
        <v>10023</v>
      </c>
      <c r="C461" t="s">
        <v>563</v>
      </c>
      <c r="D461" t="s">
        <v>20</v>
      </c>
      <c r="E461" t="s">
        <v>16</v>
      </c>
      <c r="F461" t="s">
        <v>17</v>
      </c>
      <c r="G461" t="s">
        <v>18</v>
      </c>
      <c r="H461">
        <v>5333.89</v>
      </c>
      <c r="I461">
        <v>0</v>
      </c>
      <c r="J461" t="str">
        <f t="shared" si="35"/>
        <v>High</v>
      </c>
      <c r="K461" t="str">
        <f t="shared" si="36"/>
        <v>Normal</v>
      </c>
      <c r="L461">
        <f t="shared" si="37"/>
        <v>1</v>
      </c>
      <c r="M461">
        <f t="shared" si="38"/>
        <v>1</v>
      </c>
      <c r="N461" s="6">
        <f t="shared" si="39"/>
        <v>45680</v>
      </c>
    </row>
    <row r="462" spans="1:14" x14ac:dyDescent="0.3">
      <c r="A462">
        <v>541</v>
      </c>
      <c r="B462">
        <v>10079</v>
      </c>
      <c r="C462" t="s">
        <v>564</v>
      </c>
      <c r="D462" t="s">
        <v>20</v>
      </c>
      <c r="E462" t="s">
        <v>16</v>
      </c>
      <c r="F462" t="s">
        <v>17</v>
      </c>
      <c r="G462" t="s">
        <v>31</v>
      </c>
      <c r="H462">
        <v>16046.53</v>
      </c>
      <c r="I462">
        <v>0</v>
      </c>
      <c r="J462" t="str">
        <f t="shared" si="35"/>
        <v>High</v>
      </c>
      <c r="K462" t="str">
        <f t="shared" si="36"/>
        <v>Normal</v>
      </c>
      <c r="L462">
        <f t="shared" si="37"/>
        <v>1</v>
      </c>
      <c r="M462">
        <f t="shared" si="38"/>
        <v>1</v>
      </c>
      <c r="N462" s="6">
        <f t="shared" si="39"/>
        <v>45680</v>
      </c>
    </row>
    <row r="463" spans="1:14" x14ac:dyDescent="0.3">
      <c r="A463">
        <v>542</v>
      </c>
      <c r="B463">
        <v>10001</v>
      </c>
      <c r="C463" t="s">
        <v>565</v>
      </c>
      <c r="D463" t="s">
        <v>23</v>
      </c>
      <c r="E463" t="s">
        <v>16</v>
      </c>
      <c r="F463" t="s">
        <v>12</v>
      </c>
      <c r="G463" t="s">
        <v>21</v>
      </c>
      <c r="H463">
        <v>33628.76</v>
      </c>
      <c r="I463">
        <v>0</v>
      </c>
      <c r="J463" t="str">
        <f t="shared" si="35"/>
        <v>High</v>
      </c>
      <c r="K463" t="str">
        <f t="shared" si="36"/>
        <v>Normal</v>
      </c>
      <c r="L463">
        <f t="shared" si="37"/>
        <v>1</v>
      </c>
      <c r="M463">
        <f t="shared" si="38"/>
        <v>1</v>
      </c>
      <c r="N463" s="6">
        <f t="shared" si="39"/>
        <v>45680</v>
      </c>
    </row>
    <row r="464" spans="1:14" x14ac:dyDescent="0.3">
      <c r="A464">
        <v>543</v>
      </c>
      <c r="B464">
        <v>10091</v>
      </c>
      <c r="C464" t="s">
        <v>566</v>
      </c>
      <c r="D464" t="s">
        <v>20</v>
      </c>
      <c r="E464" t="s">
        <v>16</v>
      </c>
      <c r="F464" t="s">
        <v>17</v>
      </c>
      <c r="G464" t="s">
        <v>18</v>
      </c>
      <c r="H464">
        <v>7773.06</v>
      </c>
      <c r="I464">
        <v>0</v>
      </c>
      <c r="J464" t="str">
        <f t="shared" si="35"/>
        <v>High</v>
      </c>
      <c r="K464" t="str">
        <f t="shared" si="36"/>
        <v>Normal</v>
      </c>
      <c r="L464">
        <f t="shared" si="37"/>
        <v>1</v>
      </c>
      <c r="M464">
        <f t="shared" si="38"/>
        <v>1</v>
      </c>
      <c r="N464" s="6">
        <f t="shared" si="39"/>
        <v>45680</v>
      </c>
    </row>
    <row r="465" spans="1:14" x14ac:dyDescent="0.3">
      <c r="A465">
        <v>544</v>
      </c>
      <c r="B465">
        <v>10031</v>
      </c>
      <c r="C465" t="s">
        <v>567</v>
      </c>
      <c r="D465" t="s">
        <v>29</v>
      </c>
      <c r="E465" t="s">
        <v>24</v>
      </c>
      <c r="F465" t="s">
        <v>17</v>
      </c>
      <c r="G465" t="s">
        <v>25</v>
      </c>
      <c r="H465">
        <v>23575.93</v>
      </c>
      <c r="I465">
        <v>0</v>
      </c>
      <c r="J465" t="str">
        <f t="shared" si="35"/>
        <v>High</v>
      </c>
      <c r="K465" t="str">
        <f t="shared" si="36"/>
        <v>Normal</v>
      </c>
      <c r="L465">
        <f t="shared" si="37"/>
        <v>1</v>
      </c>
      <c r="M465">
        <f t="shared" si="38"/>
        <v>1</v>
      </c>
      <c r="N465" s="6">
        <f t="shared" si="39"/>
        <v>45680</v>
      </c>
    </row>
    <row r="466" spans="1:14" x14ac:dyDescent="0.3">
      <c r="A466">
        <v>545</v>
      </c>
      <c r="B466">
        <v>10090</v>
      </c>
      <c r="C466" t="s">
        <v>568</v>
      </c>
      <c r="D466" t="s">
        <v>29</v>
      </c>
      <c r="E466" t="s">
        <v>11</v>
      </c>
      <c r="F466" t="s">
        <v>12</v>
      </c>
      <c r="G466" t="s">
        <v>25</v>
      </c>
      <c r="H466">
        <v>83032.08</v>
      </c>
      <c r="I466">
        <v>1</v>
      </c>
      <c r="J466" t="str">
        <f t="shared" si="35"/>
        <v>High</v>
      </c>
      <c r="K466" t="str">
        <f t="shared" si="36"/>
        <v>High Risk</v>
      </c>
      <c r="L466">
        <f t="shared" si="37"/>
        <v>1</v>
      </c>
      <c r="M466">
        <f t="shared" si="38"/>
        <v>1</v>
      </c>
      <c r="N466" s="6">
        <f t="shared" si="39"/>
        <v>45680</v>
      </c>
    </row>
    <row r="467" spans="1:14" x14ac:dyDescent="0.3">
      <c r="A467">
        <v>546</v>
      </c>
      <c r="B467">
        <v>10083</v>
      </c>
      <c r="C467" t="s">
        <v>569</v>
      </c>
      <c r="D467" t="s">
        <v>23</v>
      </c>
      <c r="E467" t="s">
        <v>11</v>
      </c>
      <c r="F467" t="s">
        <v>12</v>
      </c>
      <c r="G467" t="s">
        <v>31</v>
      </c>
      <c r="H467">
        <v>94830.33</v>
      </c>
      <c r="I467">
        <v>1</v>
      </c>
      <c r="J467" t="str">
        <f t="shared" si="35"/>
        <v>High</v>
      </c>
      <c r="K467" t="str">
        <f t="shared" si="36"/>
        <v>High Risk</v>
      </c>
      <c r="L467">
        <f t="shared" si="37"/>
        <v>1</v>
      </c>
      <c r="M467">
        <f t="shared" si="38"/>
        <v>1</v>
      </c>
      <c r="N467" s="6">
        <f t="shared" si="39"/>
        <v>45680</v>
      </c>
    </row>
    <row r="468" spans="1:14" x14ac:dyDescent="0.3">
      <c r="A468">
        <v>547</v>
      </c>
      <c r="B468">
        <v>10023</v>
      </c>
      <c r="C468" t="s">
        <v>570</v>
      </c>
      <c r="D468" t="s">
        <v>29</v>
      </c>
      <c r="E468" t="s">
        <v>24</v>
      </c>
      <c r="F468" t="s">
        <v>12</v>
      </c>
      <c r="G468" t="s">
        <v>21</v>
      </c>
      <c r="H468">
        <v>30529.78</v>
      </c>
      <c r="I468">
        <v>0</v>
      </c>
      <c r="J468" t="str">
        <f t="shared" si="35"/>
        <v>High</v>
      </c>
      <c r="K468" t="str">
        <f t="shared" si="36"/>
        <v>Normal</v>
      </c>
      <c r="L468">
        <f t="shared" si="37"/>
        <v>1</v>
      </c>
      <c r="M468">
        <f t="shared" si="38"/>
        <v>1</v>
      </c>
      <c r="N468" s="6">
        <f t="shared" si="39"/>
        <v>45680</v>
      </c>
    </row>
    <row r="469" spans="1:14" x14ac:dyDescent="0.3">
      <c r="A469">
        <v>548</v>
      </c>
      <c r="B469">
        <v>10011</v>
      </c>
      <c r="C469" t="s">
        <v>571</v>
      </c>
      <c r="D469" t="s">
        <v>10</v>
      </c>
      <c r="E469" t="s">
        <v>24</v>
      </c>
      <c r="F469" t="s">
        <v>12</v>
      </c>
      <c r="G469" t="s">
        <v>21</v>
      </c>
      <c r="H469">
        <v>26525.13</v>
      </c>
      <c r="I469">
        <v>0</v>
      </c>
      <c r="J469" t="str">
        <f t="shared" si="35"/>
        <v>High</v>
      </c>
      <c r="K469" t="str">
        <f t="shared" si="36"/>
        <v>Normal</v>
      </c>
      <c r="L469">
        <f t="shared" si="37"/>
        <v>1</v>
      </c>
      <c r="M469">
        <f t="shared" si="38"/>
        <v>1</v>
      </c>
      <c r="N469" s="6">
        <f t="shared" si="39"/>
        <v>45680</v>
      </c>
    </row>
    <row r="470" spans="1:14" x14ac:dyDescent="0.3">
      <c r="A470">
        <v>549</v>
      </c>
      <c r="B470">
        <v>10049</v>
      </c>
      <c r="C470" t="s">
        <v>572</v>
      </c>
      <c r="D470" t="s">
        <v>23</v>
      </c>
      <c r="E470" t="s">
        <v>24</v>
      </c>
      <c r="F470" t="s">
        <v>17</v>
      </c>
      <c r="G470" t="s">
        <v>13</v>
      </c>
      <c r="H470">
        <v>28061.279999999999</v>
      </c>
      <c r="I470">
        <v>0</v>
      </c>
      <c r="J470" t="str">
        <f t="shared" si="35"/>
        <v>High</v>
      </c>
      <c r="K470" t="str">
        <f t="shared" si="36"/>
        <v>Normal</v>
      </c>
      <c r="L470">
        <f t="shared" si="37"/>
        <v>1</v>
      </c>
      <c r="M470">
        <f t="shared" si="38"/>
        <v>1</v>
      </c>
      <c r="N470" s="6">
        <f t="shared" si="39"/>
        <v>45680</v>
      </c>
    </row>
    <row r="471" spans="1:14" x14ac:dyDescent="0.3">
      <c r="A471">
        <v>550</v>
      </c>
      <c r="B471">
        <v>10034</v>
      </c>
      <c r="C471" t="s">
        <v>573</v>
      </c>
      <c r="D471" t="s">
        <v>10</v>
      </c>
      <c r="E471" t="s">
        <v>24</v>
      </c>
      <c r="F471" t="s">
        <v>17</v>
      </c>
      <c r="G471" t="s">
        <v>21</v>
      </c>
      <c r="H471">
        <v>27844.14</v>
      </c>
      <c r="I471">
        <v>0</v>
      </c>
      <c r="J471" t="str">
        <f t="shared" si="35"/>
        <v>High</v>
      </c>
      <c r="K471" t="str">
        <f t="shared" si="36"/>
        <v>Normal</v>
      </c>
      <c r="L471">
        <f t="shared" si="37"/>
        <v>1</v>
      </c>
      <c r="M471">
        <f t="shared" si="38"/>
        <v>1</v>
      </c>
      <c r="N471" s="6">
        <f t="shared" si="39"/>
        <v>45680</v>
      </c>
    </row>
    <row r="472" spans="1:14" x14ac:dyDescent="0.3">
      <c r="A472">
        <v>551</v>
      </c>
      <c r="B472">
        <v>10032</v>
      </c>
      <c r="C472" t="s">
        <v>574</v>
      </c>
      <c r="D472" t="s">
        <v>15</v>
      </c>
      <c r="E472" t="s">
        <v>16</v>
      </c>
      <c r="F472" t="s">
        <v>17</v>
      </c>
      <c r="G472" t="s">
        <v>31</v>
      </c>
      <c r="H472">
        <v>3689.43</v>
      </c>
      <c r="I472">
        <v>0</v>
      </c>
      <c r="J472" t="str">
        <f t="shared" si="35"/>
        <v>High</v>
      </c>
      <c r="K472" t="str">
        <f t="shared" si="36"/>
        <v>Normal</v>
      </c>
      <c r="L472">
        <f t="shared" si="37"/>
        <v>1</v>
      </c>
      <c r="M472">
        <f t="shared" si="38"/>
        <v>1</v>
      </c>
      <c r="N472" s="6">
        <f t="shared" si="39"/>
        <v>45680</v>
      </c>
    </row>
    <row r="473" spans="1:14" x14ac:dyDescent="0.3">
      <c r="A473">
        <v>552</v>
      </c>
      <c r="B473">
        <v>10032</v>
      </c>
      <c r="C473" t="s">
        <v>575</v>
      </c>
      <c r="D473" t="s">
        <v>10</v>
      </c>
      <c r="E473" t="s">
        <v>11</v>
      </c>
      <c r="F473" t="s">
        <v>17</v>
      </c>
      <c r="G473" t="s">
        <v>13</v>
      </c>
      <c r="H473">
        <v>92698.94</v>
      </c>
      <c r="I473">
        <v>1</v>
      </c>
      <c r="J473" t="str">
        <f t="shared" si="35"/>
        <v>High</v>
      </c>
      <c r="K473" t="str">
        <f t="shared" si="36"/>
        <v>High Risk</v>
      </c>
      <c r="L473">
        <f t="shared" si="37"/>
        <v>1</v>
      </c>
      <c r="M473">
        <f t="shared" si="38"/>
        <v>1</v>
      </c>
      <c r="N473" s="6">
        <f t="shared" si="39"/>
        <v>45680</v>
      </c>
    </row>
    <row r="474" spans="1:14" x14ac:dyDescent="0.3">
      <c r="A474">
        <v>505</v>
      </c>
      <c r="B474">
        <v>10085</v>
      </c>
      <c r="C474" t="s">
        <v>528</v>
      </c>
      <c r="D474" t="s">
        <v>20</v>
      </c>
      <c r="E474" t="s">
        <v>24</v>
      </c>
      <c r="F474" t="s">
        <v>12</v>
      </c>
      <c r="G474" t="s">
        <v>18</v>
      </c>
      <c r="H474">
        <v>55984.6</v>
      </c>
      <c r="I474">
        <v>0</v>
      </c>
      <c r="J474" t="str">
        <f t="shared" si="35"/>
        <v>High</v>
      </c>
      <c r="K474" t="str">
        <f t="shared" si="36"/>
        <v>Normal</v>
      </c>
      <c r="L474">
        <f t="shared" si="37"/>
        <v>1</v>
      </c>
      <c r="M474">
        <f t="shared" si="38"/>
        <v>1</v>
      </c>
      <c r="N474" s="6">
        <f t="shared" si="39"/>
        <v>45679</v>
      </c>
    </row>
    <row r="475" spans="1:14" x14ac:dyDescent="0.3">
      <c r="A475">
        <v>506</v>
      </c>
      <c r="B475">
        <v>10056</v>
      </c>
      <c r="C475" t="s">
        <v>529</v>
      </c>
      <c r="D475" t="s">
        <v>15</v>
      </c>
      <c r="E475" t="s">
        <v>24</v>
      </c>
      <c r="F475" t="s">
        <v>12</v>
      </c>
      <c r="G475" t="s">
        <v>13</v>
      </c>
      <c r="H475">
        <v>82865.960000000006</v>
      </c>
      <c r="I475">
        <v>0</v>
      </c>
      <c r="J475" t="str">
        <f t="shared" si="35"/>
        <v>High</v>
      </c>
      <c r="K475" t="str">
        <f t="shared" si="36"/>
        <v>Normal</v>
      </c>
      <c r="L475">
        <f t="shared" si="37"/>
        <v>1</v>
      </c>
      <c r="M475">
        <f t="shared" si="38"/>
        <v>1</v>
      </c>
      <c r="N475" s="6">
        <f t="shared" si="39"/>
        <v>45679</v>
      </c>
    </row>
    <row r="476" spans="1:14" x14ac:dyDescent="0.3">
      <c r="A476">
        <v>507</v>
      </c>
      <c r="B476">
        <v>10028</v>
      </c>
      <c r="C476" t="s">
        <v>530</v>
      </c>
      <c r="D476" t="s">
        <v>20</v>
      </c>
      <c r="E476" t="s">
        <v>11</v>
      </c>
      <c r="F476" t="s">
        <v>12</v>
      </c>
      <c r="G476" t="s">
        <v>31</v>
      </c>
      <c r="H476">
        <v>71313.31</v>
      </c>
      <c r="I476">
        <v>1</v>
      </c>
      <c r="J476" t="str">
        <f t="shared" si="35"/>
        <v>High</v>
      </c>
      <c r="K476" t="str">
        <f t="shared" si="36"/>
        <v>High Risk</v>
      </c>
      <c r="L476">
        <f t="shared" si="37"/>
        <v>1</v>
      </c>
      <c r="M476">
        <f t="shared" si="38"/>
        <v>1</v>
      </c>
      <c r="N476" s="6">
        <f t="shared" si="39"/>
        <v>45679</v>
      </c>
    </row>
    <row r="477" spans="1:14" x14ac:dyDescent="0.3">
      <c r="A477">
        <v>508</v>
      </c>
      <c r="B477">
        <v>10077</v>
      </c>
      <c r="C477" t="s">
        <v>531</v>
      </c>
      <c r="D477" t="s">
        <v>15</v>
      </c>
      <c r="E477" t="s">
        <v>16</v>
      </c>
      <c r="F477" t="s">
        <v>12</v>
      </c>
      <c r="G477" t="s">
        <v>21</v>
      </c>
      <c r="H477">
        <v>69699.839999999997</v>
      </c>
      <c r="I477">
        <v>0</v>
      </c>
      <c r="J477" t="str">
        <f t="shared" si="35"/>
        <v>High</v>
      </c>
      <c r="K477" t="str">
        <f t="shared" si="36"/>
        <v>Normal</v>
      </c>
      <c r="L477">
        <f t="shared" si="37"/>
        <v>1</v>
      </c>
      <c r="M477">
        <f t="shared" si="38"/>
        <v>1</v>
      </c>
      <c r="N477" s="6">
        <f t="shared" si="39"/>
        <v>45679</v>
      </c>
    </row>
    <row r="478" spans="1:14" x14ac:dyDescent="0.3">
      <c r="A478">
        <v>509</v>
      </c>
      <c r="B478">
        <v>10091</v>
      </c>
      <c r="C478" t="s">
        <v>532</v>
      </c>
      <c r="D478" t="s">
        <v>10</v>
      </c>
      <c r="E478" t="s">
        <v>16</v>
      </c>
      <c r="F478" t="s">
        <v>12</v>
      </c>
      <c r="G478" t="s">
        <v>21</v>
      </c>
      <c r="H478">
        <v>32502.15</v>
      </c>
      <c r="I478">
        <v>0</v>
      </c>
      <c r="J478" t="str">
        <f t="shared" si="35"/>
        <v>High</v>
      </c>
      <c r="K478" t="str">
        <f t="shared" si="36"/>
        <v>Normal</v>
      </c>
      <c r="L478">
        <f t="shared" si="37"/>
        <v>1</v>
      </c>
      <c r="M478">
        <f t="shared" si="38"/>
        <v>1</v>
      </c>
      <c r="N478" s="6">
        <f t="shared" si="39"/>
        <v>45679</v>
      </c>
    </row>
    <row r="479" spans="1:14" x14ac:dyDescent="0.3">
      <c r="A479">
        <v>510</v>
      </c>
      <c r="B479">
        <v>10068</v>
      </c>
      <c r="C479" t="s">
        <v>533</v>
      </c>
      <c r="D479" t="s">
        <v>15</v>
      </c>
      <c r="E479" t="s">
        <v>24</v>
      </c>
      <c r="F479" t="s">
        <v>17</v>
      </c>
      <c r="G479" t="s">
        <v>18</v>
      </c>
      <c r="H479">
        <v>23466.3</v>
      </c>
      <c r="I479">
        <v>0</v>
      </c>
      <c r="J479" t="str">
        <f t="shared" si="35"/>
        <v>High</v>
      </c>
      <c r="K479" t="str">
        <f t="shared" si="36"/>
        <v>Normal</v>
      </c>
      <c r="L479">
        <f t="shared" si="37"/>
        <v>1</v>
      </c>
      <c r="M479">
        <f t="shared" si="38"/>
        <v>1</v>
      </c>
      <c r="N479" s="6">
        <f t="shared" si="39"/>
        <v>45679</v>
      </c>
    </row>
    <row r="480" spans="1:14" x14ac:dyDescent="0.3">
      <c r="A480">
        <v>511</v>
      </c>
      <c r="B480">
        <v>10046</v>
      </c>
      <c r="C480" t="s">
        <v>534</v>
      </c>
      <c r="D480" t="s">
        <v>20</v>
      </c>
      <c r="E480" t="s">
        <v>16</v>
      </c>
      <c r="F480" t="s">
        <v>17</v>
      </c>
      <c r="G480" t="s">
        <v>21</v>
      </c>
      <c r="H480">
        <v>21167.53</v>
      </c>
      <c r="I480">
        <v>0</v>
      </c>
      <c r="J480" t="str">
        <f t="shared" si="35"/>
        <v>High</v>
      </c>
      <c r="K480" t="str">
        <f t="shared" si="36"/>
        <v>Normal</v>
      </c>
      <c r="L480">
        <f t="shared" si="37"/>
        <v>1</v>
      </c>
      <c r="M480">
        <f t="shared" si="38"/>
        <v>1</v>
      </c>
      <c r="N480" s="6">
        <f t="shared" si="39"/>
        <v>45679</v>
      </c>
    </row>
    <row r="481" spans="1:14" x14ac:dyDescent="0.3">
      <c r="A481">
        <v>512</v>
      </c>
      <c r="B481">
        <v>10093</v>
      </c>
      <c r="C481" t="s">
        <v>535</v>
      </c>
      <c r="D481" t="s">
        <v>29</v>
      </c>
      <c r="E481" t="s">
        <v>24</v>
      </c>
      <c r="F481" t="s">
        <v>12</v>
      </c>
      <c r="G481" t="s">
        <v>31</v>
      </c>
      <c r="H481">
        <v>85733.45</v>
      </c>
      <c r="I481">
        <v>0</v>
      </c>
      <c r="J481" t="str">
        <f t="shared" si="35"/>
        <v>High</v>
      </c>
      <c r="K481" t="str">
        <f t="shared" si="36"/>
        <v>Normal</v>
      </c>
      <c r="L481">
        <f t="shared" si="37"/>
        <v>1</v>
      </c>
      <c r="M481">
        <f t="shared" si="38"/>
        <v>1</v>
      </c>
      <c r="N481" s="6">
        <f t="shared" si="39"/>
        <v>45679</v>
      </c>
    </row>
    <row r="482" spans="1:14" x14ac:dyDescent="0.3">
      <c r="A482">
        <v>513</v>
      </c>
      <c r="B482">
        <v>10061</v>
      </c>
      <c r="C482" t="s">
        <v>536</v>
      </c>
      <c r="D482" t="s">
        <v>15</v>
      </c>
      <c r="E482" t="s">
        <v>11</v>
      </c>
      <c r="F482" t="s">
        <v>12</v>
      </c>
      <c r="G482" t="s">
        <v>18</v>
      </c>
      <c r="H482">
        <v>82060.639999999999</v>
      </c>
      <c r="I482">
        <v>1</v>
      </c>
      <c r="J482" t="str">
        <f t="shared" si="35"/>
        <v>High</v>
      </c>
      <c r="K482" t="str">
        <f t="shared" si="36"/>
        <v>High Risk</v>
      </c>
      <c r="L482">
        <f t="shared" si="37"/>
        <v>1</v>
      </c>
      <c r="M482">
        <f t="shared" si="38"/>
        <v>1</v>
      </c>
      <c r="N482" s="6">
        <f t="shared" si="39"/>
        <v>45679</v>
      </c>
    </row>
    <row r="483" spans="1:14" x14ac:dyDescent="0.3">
      <c r="A483">
        <v>514</v>
      </c>
      <c r="B483">
        <v>10068</v>
      </c>
      <c r="C483" t="s">
        <v>537</v>
      </c>
      <c r="D483" t="s">
        <v>15</v>
      </c>
      <c r="E483" t="s">
        <v>16</v>
      </c>
      <c r="F483" t="s">
        <v>17</v>
      </c>
      <c r="G483" t="s">
        <v>13</v>
      </c>
      <c r="H483">
        <v>44113.3</v>
      </c>
      <c r="I483">
        <v>0</v>
      </c>
      <c r="J483" t="str">
        <f t="shared" si="35"/>
        <v>High</v>
      </c>
      <c r="K483" t="str">
        <f t="shared" si="36"/>
        <v>Normal</v>
      </c>
      <c r="L483">
        <f t="shared" si="37"/>
        <v>1</v>
      </c>
      <c r="M483">
        <f t="shared" si="38"/>
        <v>1</v>
      </c>
      <c r="N483" s="6">
        <f t="shared" si="39"/>
        <v>45679</v>
      </c>
    </row>
    <row r="484" spans="1:14" x14ac:dyDescent="0.3">
      <c r="A484">
        <v>515</v>
      </c>
      <c r="B484">
        <v>10075</v>
      </c>
      <c r="C484" t="s">
        <v>538</v>
      </c>
      <c r="D484" t="s">
        <v>23</v>
      </c>
      <c r="E484" t="s">
        <v>11</v>
      </c>
      <c r="F484" t="s">
        <v>17</v>
      </c>
      <c r="G484" t="s">
        <v>21</v>
      </c>
      <c r="H484">
        <v>13327.22</v>
      </c>
      <c r="I484">
        <v>0</v>
      </c>
      <c r="J484" t="str">
        <f t="shared" si="35"/>
        <v>High</v>
      </c>
      <c r="K484" t="str">
        <f t="shared" si="36"/>
        <v>Normal</v>
      </c>
      <c r="L484">
        <f t="shared" si="37"/>
        <v>1</v>
      </c>
      <c r="M484">
        <f t="shared" si="38"/>
        <v>1</v>
      </c>
      <c r="N484" s="6">
        <f t="shared" si="39"/>
        <v>45679</v>
      </c>
    </row>
    <row r="485" spans="1:14" x14ac:dyDescent="0.3">
      <c r="A485">
        <v>516</v>
      </c>
      <c r="B485">
        <v>10015</v>
      </c>
      <c r="C485" t="s">
        <v>539</v>
      </c>
      <c r="D485" t="s">
        <v>29</v>
      </c>
      <c r="E485" t="s">
        <v>16</v>
      </c>
      <c r="F485" t="s">
        <v>17</v>
      </c>
      <c r="G485" t="s">
        <v>25</v>
      </c>
      <c r="H485">
        <v>38287</v>
      </c>
      <c r="I485">
        <v>0</v>
      </c>
      <c r="J485" t="str">
        <f t="shared" si="35"/>
        <v>High</v>
      </c>
      <c r="K485" t="str">
        <f t="shared" si="36"/>
        <v>Normal</v>
      </c>
      <c r="L485">
        <f t="shared" si="37"/>
        <v>1</v>
      </c>
      <c r="M485">
        <f t="shared" si="38"/>
        <v>1</v>
      </c>
      <c r="N485" s="6">
        <f t="shared" si="39"/>
        <v>45679</v>
      </c>
    </row>
    <row r="486" spans="1:14" x14ac:dyDescent="0.3">
      <c r="A486">
        <v>517</v>
      </c>
      <c r="B486">
        <v>10089</v>
      </c>
      <c r="C486" t="s">
        <v>540</v>
      </c>
      <c r="D486" t="s">
        <v>10</v>
      </c>
      <c r="E486" t="s">
        <v>11</v>
      </c>
      <c r="F486" t="s">
        <v>17</v>
      </c>
      <c r="G486" t="s">
        <v>21</v>
      </c>
      <c r="H486">
        <v>61972.41</v>
      </c>
      <c r="I486">
        <v>1</v>
      </c>
      <c r="J486" t="str">
        <f t="shared" si="35"/>
        <v>High</v>
      </c>
      <c r="K486" t="str">
        <f t="shared" si="36"/>
        <v>High Risk</v>
      </c>
      <c r="L486">
        <f t="shared" si="37"/>
        <v>1</v>
      </c>
      <c r="M486">
        <f t="shared" si="38"/>
        <v>1</v>
      </c>
      <c r="N486" s="6">
        <f t="shared" si="39"/>
        <v>45679</v>
      </c>
    </row>
    <row r="487" spans="1:14" x14ac:dyDescent="0.3">
      <c r="A487">
        <v>518</v>
      </c>
      <c r="B487">
        <v>10089</v>
      </c>
      <c r="C487" t="s">
        <v>541</v>
      </c>
      <c r="D487" t="s">
        <v>20</v>
      </c>
      <c r="E487" t="s">
        <v>16</v>
      </c>
      <c r="F487" t="s">
        <v>12</v>
      </c>
      <c r="G487" t="s">
        <v>13</v>
      </c>
      <c r="H487">
        <v>45494.879999999997</v>
      </c>
      <c r="I487">
        <v>0</v>
      </c>
      <c r="J487" t="str">
        <f t="shared" si="35"/>
        <v>High</v>
      </c>
      <c r="K487" t="str">
        <f t="shared" si="36"/>
        <v>Normal</v>
      </c>
      <c r="L487">
        <f t="shared" si="37"/>
        <v>1</v>
      </c>
      <c r="M487">
        <f t="shared" si="38"/>
        <v>1</v>
      </c>
      <c r="N487" s="6">
        <f t="shared" si="39"/>
        <v>45679</v>
      </c>
    </row>
    <row r="488" spans="1:14" x14ac:dyDescent="0.3">
      <c r="A488">
        <v>519</v>
      </c>
      <c r="B488">
        <v>10047</v>
      </c>
      <c r="C488" t="s">
        <v>542</v>
      </c>
      <c r="D488" t="s">
        <v>10</v>
      </c>
      <c r="E488" t="s">
        <v>11</v>
      </c>
      <c r="F488" t="s">
        <v>17</v>
      </c>
      <c r="G488" t="s">
        <v>18</v>
      </c>
      <c r="H488">
        <v>78040.91</v>
      </c>
      <c r="I488">
        <v>1</v>
      </c>
      <c r="J488" t="str">
        <f t="shared" si="35"/>
        <v>High</v>
      </c>
      <c r="K488" t="str">
        <f t="shared" si="36"/>
        <v>High Risk</v>
      </c>
      <c r="L488">
        <f t="shared" si="37"/>
        <v>1</v>
      </c>
      <c r="M488">
        <f t="shared" si="38"/>
        <v>1</v>
      </c>
      <c r="N488" s="6">
        <f t="shared" si="39"/>
        <v>45679</v>
      </c>
    </row>
    <row r="489" spans="1:14" x14ac:dyDescent="0.3">
      <c r="A489">
        <v>520</v>
      </c>
      <c r="B489">
        <v>10084</v>
      </c>
      <c r="C489" t="s">
        <v>543</v>
      </c>
      <c r="D489" t="s">
        <v>29</v>
      </c>
      <c r="E489" t="s">
        <v>11</v>
      </c>
      <c r="F489" t="s">
        <v>12</v>
      </c>
      <c r="G489" t="s">
        <v>13</v>
      </c>
      <c r="H489">
        <v>99762.52</v>
      </c>
      <c r="I489">
        <v>1</v>
      </c>
      <c r="J489" t="str">
        <f t="shared" si="35"/>
        <v>High</v>
      </c>
      <c r="K489" t="str">
        <f t="shared" si="36"/>
        <v>High Risk</v>
      </c>
      <c r="L489">
        <f t="shared" si="37"/>
        <v>1</v>
      </c>
      <c r="M489">
        <f t="shared" si="38"/>
        <v>1</v>
      </c>
      <c r="N489" s="6">
        <f t="shared" si="39"/>
        <v>45679</v>
      </c>
    </row>
    <row r="490" spans="1:14" x14ac:dyDescent="0.3">
      <c r="A490">
        <v>521</v>
      </c>
      <c r="B490">
        <v>10038</v>
      </c>
      <c r="C490" t="s">
        <v>544</v>
      </c>
      <c r="D490" t="s">
        <v>15</v>
      </c>
      <c r="E490" t="s">
        <v>16</v>
      </c>
      <c r="F490" t="s">
        <v>12</v>
      </c>
      <c r="G490" t="s">
        <v>25</v>
      </c>
      <c r="H490">
        <v>19194.099999999999</v>
      </c>
      <c r="I490">
        <v>0</v>
      </c>
      <c r="J490" t="str">
        <f t="shared" si="35"/>
        <v>High</v>
      </c>
      <c r="K490" t="str">
        <f t="shared" si="36"/>
        <v>Normal</v>
      </c>
      <c r="L490">
        <f t="shared" si="37"/>
        <v>1</v>
      </c>
      <c r="M490">
        <f t="shared" si="38"/>
        <v>1</v>
      </c>
      <c r="N490" s="6">
        <f t="shared" si="39"/>
        <v>45679</v>
      </c>
    </row>
    <row r="491" spans="1:14" x14ac:dyDescent="0.3">
      <c r="A491">
        <v>522</v>
      </c>
      <c r="B491">
        <v>10099</v>
      </c>
      <c r="C491" t="s">
        <v>545</v>
      </c>
      <c r="D491" t="s">
        <v>15</v>
      </c>
      <c r="E491" t="s">
        <v>11</v>
      </c>
      <c r="F491" t="s">
        <v>12</v>
      </c>
      <c r="G491" t="s">
        <v>31</v>
      </c>
      <c r="H491">
        <v>46019.12</v>
      </c>
      <c r="I491">
        <v>0</v>
      </c>
      <c r="J491" t="str">
        <f t="shared" si="35"/>
        <v>High</v>
      </c>
      <c r="K491" t="str">
        <f t="shared" si="36"/>
        <v>Normal</v>
      </c>
      <c r="L491">
        <f t="shared" si="37"/>
        <v>1</v>
      </c>
      <c r="M491">
        <f t="shared" si="38"/>
        <v>1</v>
      </c>
      <c r="N491" s="6">
        <f t="shared" si="39"/>
        <v>45679</v>
      </c>
    </row>
    <row r="492" spans="1:14" x14ac:dyDescent="0.3">
      <c r="A492">
        <v>523</v>
      </c>
      <c r="B492">
        <v>10032</v>
      </c>
      <c r="C492" t="s">
        <v>546</v>
      </c>
      <c r="D492" t="s">
        <v>29</v>
      </c>
      <c r="E492" t="s">
        <v>11</v>
      </c>
      <c r="F492" t="s">
        <v>17</v>
      </c>
      <c r="G492" t="s">
        <v>21</v>
      </c>
      <c r="H492">
        <v>43155.29</v>
      </c>
      <c r="I492">
        <v>0</v>
      </c>
      <c r="J492" t="str">
        <f t="shared" si="35"/>
        <v>High</v>
      </c>
      <c r="K492" t="str">
        <f t="shared" si="36"/>
        <v>Normal</v>
      </c>
      <c r="L492">
        <f t="shared" si="37"/>
        <v>1</v>
      </c>
      <c r="M492">
        <f t="shared" si="38"/>
        <v>1</v>
      </c>
      <c r="N492" s="6">
        <f t="shared" si="39"/>
        <v>45679</v>
      </c>
    </row>
    <row r="493" spans="1:14" x14ac:dyDescent="0.3">
      <c r="A493">
        <v>524</v>
      </c>
      <c r="B493">
        <v>10093</v>
      </c>
      <c r="C493" t="s">
        <v>547</v>
      </c>
      <c r="D493" t="s">
        <v>15</v>
      </c>
      <c r="E493" t="s">
        <v>11</v>
      </c>
      <c r="F493" t="s">
        <v>17</v>
      </c>
      <c r="G493" t="s">
        <v>18</v>
      </c>
      <c r="H493">
        <v>30518.799999999999</v>
      </c>
      <c r="I493">
        <v>0</v>
      </c>
      <c r="J493" t="str">
        <f t="shared" si="35"/>
        <v>High</v>
      </c>
      <c r="K493" t="str">
        <f t="shared" si="36"/>
        <v>Normal</v>
      </c>
      <c r="L493">
        <f t="shared" si="37"/>
        <v>1</v>
      </c>
      <c r="M493">
        <f t="shared" si="38"/>
        <v>1</v>
      </c>
      <c r="N493" s="6">
        <f t="shared" si="39"/>
        <v>45679</v>
      </c>
    </row>
    <row r="494" spans="1:14" x14ac:dyDescent="0.3">
      <c r="A494">
        <v>525</v>
      </c>
      <c r="B494">
        <v>10022</v>
      </c>
      <c r="C494" t="s">
        <v>548</v>
      </c>
      <c r="D494" t="s">
        <v>15</v>
      </c>
      <c r="E494" t="s">
        <v>16</v>
      </c>
      <c r="F494" t="s">
        <v>12</v>
      </c>
      <c r="G494" t="s">
        <v>31</v>
      </c>
      <c r="H494">
        <v>19889.740000000002</v>
      </c>
      <c r="I494">
        <v>0</v>
      </c>
      <c r="J494" t="str">
        <f t="shared" si="35"/>
        <v>High</v>
      </c>
      <c r="K494" t="str">
        <f t="shared" si="36"/>
        <v>Normal</v>
      </c>
      <c r="L494">
        <f t="shared" si="37"/>
        <v>1</v>
      </c>
      <c r="M494">
        <f t="shared" si="38"/>
        <v>1</v>
      </c>
      <c r="N494" s="6">
        <f t="shared" si="39"/>
        <v>45679</v>
      </c>
    </row>
    <row r="495" spans="1:14" x14ac:dyDescent="0.3">
      <c r="A495">
        <v>526</v>
      </c>
      <c r="B495">
        <v>10009</v>
      </c>
      <c r="C495" t="s">
        <v>549</v>
      </c>
      <c r="D495" t="s">
        <v>15</v>
      </c>
      <c r="E495" t="s">
        <v>16</v>
      </c>
      <c r="F495" t="s">
        <v>12</v>
      </c>
      <c r="G495" t="s">
        <v>13</v>
      </c>
      <c r="H495">
        <v>6662.64</v>
      </c>
      <c r="I495">
        <v>0</v>
      </c>
      <c r="J495" t="str">
        <f t="shared" si="35"/>
        <v>High</v>
      </c>
      <c r="K495" t="str">
        <f t="shared" si="36"/>
        <v>Normal</v>
      </c>
      <c r="L495">
        <f t="shared" si="37"/>
        <v>1</v>
      </c>
      <c r="M495">
        <f t="shared" si="38"/>
        <v>1</v>
      </c>
      <c r="N495" s="6">
        <f t="shared" si="39"/>
        <v>45679</v>
      </c>
    </row>
    <row r="496" spans="1:14" x14ac:dyDescent="0.3">
      <c r="A496">
        <v>527</v>
      </c>
      <c r="B496">
        <v>10068</v>
      </c>
      <c r="C496" t="s">
        <v>550</v>
      </c>
      <c r="D496" t="s">
        <v>20</v>
      </c>
      <c r="E496" t="s">
        <v>11</v>
      </c>
      <c r="F496" t="s">
        <v>12</v>
      </c>
      <c r="G496" t="s">
        <v>18</v>
      </c>
      <c r="H496">
        <v>88723.22</v>
      </c>
      <c r="I496">
        <v>1</v>
      </c>
      <c r="J496" t="str">
        <f t="shared" si="35"/>
        <v>High</v>
      </c>
      <c r="K496" t="str">
        <f t="shared" si="36"/>
        <v>High Risk</v>
      </c>
      <c r="L496">
        <f t="shared" si="37"/>
        <v>1</v>
      </c>
      <c r="M496">
        <f t="shared" si="38"/>
        <v>1</v>
      </c>
      <c r="N496" s="6">
        <f t="shared" si="39"/>
        <v>45679</v>
      </c>
    </row>
    <row r="497" spans="1:14" x14ac:dyDescent="0.3">
      <c r="A497">
        <v>528</v>
      </c>
      <c r="B497">
        <v>10099</v>
      </c>
      <c r="C497" t="s">
        <v>551</v>
      </c>
      <c r="D497" t="s">
        <v>20</v>
      </c>
      <c r="E497" t="s">
        <v>11</v>
      </c>
      <c r="F497" t="s">
        <v>17</v>
      </c>
      <c r="G497" t="s">
        <v>31</v>
      </c>
      <c r="H497">
        <v>42042.879999999997</v>
      </c>
      <c r="I497">
        <v>0</v>
      </c>
      <c r="J497" t="str">
        <f t="shared" si="35"/>
        <v>High</v>
      </c>
      <c r="K497" t="str">
        <f t="shared" si="36"/>
        <v>Normal</v>
      </c>
      <c r="L497">
        <f t="shared" si="37"/>
        <v>1</v>
      </c>
      <c r="M497">
        <f t="shared" si="38"/>
        <v>1</v>
      </c>
      <c r="N497" s="6">
        <f t="shared" si="39"/>
        <v>45679</v>
      </c>
    </row>
    <row r="498" spans="1:14" x14ac:dyDescent="0.3">
      <c r="A498">
        <v>481</v>
      </c>
      <c r="B498">
        <v>10061</v>
      </c>
      <c r="C498" t="s">
        <v>504</v>
      </c>
      <c r="D498" t="s">
        <v>20</v>
      </c>
      <c r="E498" t="s">
        <v>11</v>
      </c>
      <c r="F498" t="s">
        <v>17</v>
      </c>
      <c r="G498" t="s">
        <v>31</v>
      </c>
      <c r="H498">
        <v>38023.71</v>
      </c>
      <c r="I498">
        <v>0</v>
      </c>
      <c r="J498" t="str">
        <f t="shared" si="35"/>
        <v>High</v>
      </c>
      <c r="K498" t="str">
        <f t="shared" si="36"/>
        <v>Normal</v>
      </c>
      <c r="L498">
        <f t="shared" si="37"/>
        <v>1</v>
      </c>
      <c r="M498">
        <f t="shared" si="38"/>
        <v>1</v>
      </c>
      <c r="N498" s="6">
        <f t="shared" si="39"/>
        <v>45678</v>
      </c>
    </row>
    <row r="499" spans="1:14" x14ac:dyDescent="0.3">
      <c r="A499">
        <v>482</v>
      </c>
      <c r="B499">
        <v>10022</v>
      </c>
      <c r="C499" t="s">
        <v>505</v>
      </c>
      <c r="D499" t="s">
        <v>29</v>
      </c>
      <c r="E499" t="s">
        <v>24</v>
      </c>
      <c r="F499" t="s">
        <v>17</v>
      </c>
      <c r="G499" t="s">
        <v>13</v>
      </c>
      <c r="H499">
        <v>31727.02</v>
      </c>
      <c r="I499">
        <v>0</v>
      </c>
      <c r="J499" t="str">
        <f t="shared" si="35"/>
        <v>High</v>
      </c>
      <c r="K499" t="str">
        <f t="shared" si="36"/>
        <v>Normal</v>
      </c>
      <c r="L499">
        <f t="shared" si="37"/>
        <v>1</v>
      </c>
      <c r="M499">
        <f t="shared" si="38"/>
        <v>1</v>
      </c>
      <c r="N499" s="6">
        <f t="shared" si="39"/>
        <v>45678</v>
      </c>
    </row>
    <row r="500" spans="1:14" x14ac:dyDescent="0.3">
      <c r="A500">
        <v>483</v>
      </c>
      <c r="B500">
        <v>10008</v>
      </c>
      <c r="C500" t="s">
        <v>506</v>
      </c>
      <c r="D500" t="s">
        <v>15</v>
      </c>
      <c r="E500" t="s">
        <v>24</v>
      </c>
      <c r="F500" t="s">
        <v>12</v>
      </c>
      <c r="G500" t="s">
        <v>13</v>
      </c>
      <c r="H500">
        <v>28641.39</v>
      </c>
      <c r="I500">
        <v>0</v>
      </c>
      <c r="J500" t="str">
        <f t="shared" si="35"/>
        <v>High</v>
      </c>
      <c r="K500" t="str">
        <f t="shared" si="36"/>
        <v>Normal</v>
      </c>
      <c r="L500">
        <f t="shared" si="37"/>
        <v>1</v>
      </c>
      <c r="M500">
        <f t="shared" si="38"/>
        <v>1</v>
      </c>
      <c r="N500" s="6">
        <f t="shared" si="39"/>
        <v>45678</v>
      </c>
    </row>
    <row r="501" spans="1:14" x14ac:dyDescent="0.3">
      <c r="A501">
        <v>484</v>
      </c>
      <c r="B501">
        <v>10011</v>
      </c>
      <c r="C501" t="s">
        <v>507</v>
      </c>
      <c r="D501" t="s">
        <v>29</v>
      </c>
      <c r="E501" t="s">
        <v>24</v>
      </c>
      <c r="F501" t="s">
        <v>17</v>
      </c>
      <c r="G501" t="s">
        <v>25</v>
      </c>
      <c r="H501">
        <v>9228.27</v>
      </c>
      <c r="I501">
        <v>0</v>
      </c>
      <c r="J501" t="str">
        <f t="shared" si="35"/>
        <v>High</v>
      </c>
      <c r="K501" t="str">
        <f t="shared" si="36"/>
        <v>Normal</v>
      </c>
      <c r="L501">
        <f t="shared" si="37"/>
        <v>1</v>
      </c>
      <c r="M501">
        <f t="shared" si="38"/>
        <v>1</v>
      </c>
      <c r="N501" s="6">
        <f t="shared" si="39"/>
        <v>45678</v>
      </c>
    </row>
    <row r="502" spans="1:14" x14ac:dyDescent="0.3">
      <c r="A502">
        <v>485</v>
      </c>
      <c r="B502">
        <v>10000</v>
      </c>
      <c r="C502" t="s">
        <v>508</v>
      </c>
      <c r="D502" t="s">
        <v>10</v>
      </c>
      <c r="E502" t="s">
        <v>24</v>
      </c>
      <c r="F502" t="s">
        <v>17</v>
      </c>
      <c r="G502" t="s">
        <v>21</v>
      </c>
      <c r="H502">
        <v>31551.1</v>
      </c>
      <c r="I502">
        <v>0</v>
      </c>
      <c r="J502" t="str">
        <f t="shared" si="35"/>
        <v>High</v>
      </c>
      <c r="K502" t="str">
        <f t="shared" si="36"/>
        <v>Normal</v>
      </c>
      <c r="L502">
        <f t="shared" si="37"/>
        <v>1</v>
      </c>
      <c r="M502">
        <f t="shared" si="38"/>
        <v>1</v>
      </c>
      <c r="N502" s="6">
        <f t="shared" si="39"/>
        <v>45678</v>
      </c>
    </row>
    <row r="503" spans="1:14" x14ac:dyDescent="0.3">
      <c r="A503">
        <v>486</v>
      </c>
      <c r="B503">
        <v>10057</v>
      </c>
      <c r="C503" t="s">
        <v>509</v>
      </c>
      <c r="D503" t="s">
        <v>15</v>
      </c>
      <c r="E503" t="s">
        <v>16</v>
      </c>
      <c r="F503" t="s">
        <v>17</v>
      </c>
      <c r="G503" t="s">
        <v>31</v>
      </c>
      <c r="H503">
        <v>4400.9399999999996</v>
      </c>
      <c r="I503">
        <v>0</v>
      </c>
      <c r="J503" t="str">
        <f t="shared" si="35"/>
        <v>High</v>
      </c>
      <c r="K503" t="str">
        <f t="shared" si="36"/>
        <v>Normal</v>
      </c>
      <c r="L503">
        <f t="shared" si="37"/>
        <v>1</v>
      </c>
      <c r="M503">
        <f t="shared" si="38"/>
        <v>1</v>
      </c>
      <c r="N503" s="6">
        <f t="shared" si="39"/>
        <v>45678</v>
      </c>
    </row>
    <row r="504" spans="1:14" x14ac:dyDescent="0.3">
      <c r="A504">
        <v>487</v>
      </c>
      <c r="B504">
        <v>10000</v>
      </c>
      <c r="C504" t="s">
        <v>510</v>
      </c>
      <c r="D504" t="s">
        <v>29</v>
      </c>
      <c r="E504" t="s">
        <v>11</v>
      </c>
      <c r="F504" t="s">
        <v>17</v>
      </c>
      <c r="G504" t="s">
        <v>31</v>
      </c>
      <c r="H504">
        <v>78118.289999999994</v>
      </c>
      <c r="I504">
        <v>1</v>
      </c>
      <c r="J504" t="str">
        <f t="shared" si="35"/>
        <v>High</v>
      </c>
      <c r="K504" t="str">
        <f t="shared" si="36"/>
        <v>High Risk</v>
      </c>
      <c r="L504">
        <f t="shared" si="37"/>
        <v>1</v>
      </c>
      <c r="M504">
        <f t="shared" si="38"/>
        <v>1</v>
      </c>
      <c r="N504" s="6">
        <f t="shared" si="39"/>
        <v>45678</v>
      </c>
    </row>
    <row r="505" spans="1:14" x14ac:dyDescent="0.3">
      <c r="A505">
        <v>488</v>
      </c>
      <c r="B505">
        <v>10033</v>
      </c>
      <c r="C505" t="s">
        <v>511</v>
      </c>
      <c r="D505" t="s">
        <v>10</v>
      </c>
      <c r="E505" t="s">
        <v>11</v>
      </c>
      <c r="F505" t="s">
        <v>17</v>
      </c>
      <c r="G505" t="s">
        <v>31</v>
      </c>
      <c r="H505">
        <v>39882.959999999999</v>
      </c>
      <c r="I505">
        <v>0</v>
      </c>
      <c r="J505" t="str">
        <f t="shared" si="35"/>
        <v>High</v>
      </c>
      <c r="K505" t="str">
        <f t="shared" si="36"/>
        <v>Normal</v>
      </c>
      <c r="L505">
        <f t="shared" si="37"/>
        <v>1</v>
      </c>
      <c r="M505">
        <f t="shared" si="38"/>
        <v>1</v>
      </c>
      <c r="N505" s="6">
        <f t="shared" si="39"/>
        <v>45678</v>
      </c>
    </row>
    <row r="506" spans="1:14" x14ac:dyDescent="0.3">
      <c r="A506">
        <v>489</v>
      </c>
      <c r="B506">
        <v>10095</v>
      </c>
      <c r="C506" t="s">
        <v>512</v>
      </c>
      <c r="D506" t="s">
        <v>20</v>
      </c>
      <c r="E506" t="s">
        <v>11</v>
      </c>
      <c r="F506" t="s">
        <v>12</v>
      </c>
      <c r="G506" t="s">
        <v>25</v>
      </c>
      <c r="H506">
        <v>44445.99</v>
      </c>
      <c r="I506">
        <v>0</v>
      </c>
      <c r="J506" t="str">
        <f t="shared" si="35"/>
        <v>High</v>
      </c>
      <c r="K506" t="str">
        <f t="shared" si="36"/>
        <v>Normal</v>
      </c>
      <c r="L506">
        <f t="shared" si="37"/>
        <v>1</v>
      </c>
      <c r="M506">
        <f t="shared" si="38"/>
        <v>1</v>
      </c>
      <c r="N506" s="6">
        <f t="shared" si="39"/>
        <v>45678</v>
      </c>
    </row>
    <row r="507" spans="1:14" x14ac:dyDescent="0.3">
      <c r="A507">
        <v>490</v>
      </c>
      <c r="B507">
        <v>10047</v>
      </c>
      <c r="C507" t="s">
        <v>513</v>
      </c>
      <c r="D507" t="s">
        <v>10</v>
      </c>
      <c r="E507" t="s">
        <v>24</v>
      </c>
      <c r="F507" t="s">
        <v>17</v>
      </c>
      <c r="G507" t="s">
        <v>13</v>
      </c>
      <c r="H507">
        <v>89370.1</v>
      </c>
      <c r="I507">
        <v>0</v>
      </c>
      <c r="J507" t="str">
        <f t="shared" si="35"/>
        <v>High</v>
      </c>
      <c r="K507" t="str">
        <f t="shared" si="36"/>
        <v>Normal</v>
      </c>
      <c r="L507">
        <f t="shared" si="37"/>
        <v>1</v>
      </c>
      <c r="M507">
        <f t="shared" si="38"/>
        <v>1</v>
      </c>
      <c r="N507" s="6">
        <f t="shared" si="39"/>
        <v>45678</v>
      </c>
    </row>
    <row r="508" spans="1:14" x14ac:dyDescent="0.3">
      <c r="A508">
        <v>491</v>
      </c>
      <c r="B508">
        <v>10088</v>
      </c>
      <c r="C508" t="s">
        <v>514</v>
      </c>
      <c r="D508" t="s">
        <v>23</v>
      </c>
      <c r="E508" t="s">
        <v>24</v>
      </c>
      <c r="F508" t="s">
        <v>12</v>
      </c>
      <c r="G508" t="s">
        <v>21</v>
      </c>
      <c r="H508">
        <v>65839.69</v>
      </c>
      <c r="I508">
        <v>0</v>
      </c>
      <c r="J508" t="str">
        <f t="shared" si="35"/>
        <v>High</v>
      </c>
      <c r="K508" t="str">
        <f t="shared" si="36"/>
        <v>Normal</v>
      </c>
      <c r="L508">
        <f t="shared" si="37"/>
        <v>1</v>
      </c>
      <c r="M508">
        <f t="shared" si="38"/>
        <v>1</v>
      </c>
      <c r="N508" s="6">
        <f t="shared" si="39"/>
        <v>45678</v>
      </c>
    </row>
    <row r="509" spans="1:14" x14ac:dyDescent="0.3">
      <c r="A509">
        <v>492</v>
      </c>
      <c r="B509">
        <v>10000</v>
      </c>
      <c r="C509" t="s">
        <v>515</v>
      </c>
      <c r="D509" t="s">
        <v>10</v>
      </c>
      <c r="E509" t="s">
        <v>11</v>
      </c>
      <c r="F509" t="s">
        <v>12</v>
      </c>
      <c r="G509" t="s">
        <v>18</v>
      </c>
      <c r="H509">
        <v>905.1</v>
      </c>
      <c r="I509">
        <v>0</v>
      </c>
      <c r="J509" t="str">
        <f t="shared" si="35"/>
        <v>High</v>
      </c>
      <c r="K509" t="str">
        <f t="shared" si="36"/>
        <v>Normal</v>
      </c>
      <c r="L509">
        <f t="shared" si="37"/>
        <v>1</v>
      </c>
      <c r="M509">
        <f t="shared" si="38"/>
        <v>1</v>
      </c>
      <c r="N509" s="6">
        <f t="shared" si="39"/>
        <v>45678</v>
      </c>
    </row>
    <row r="510" spans="1:14" x14ac:dyDescent="0.3">
      <c r="A510">
        <v>493</v>
      </c>
      <c r="B510">
        <v>10015</v>
      </c>
      <c r="C510" t="s">
        <v>516</v>
      </c>
      <c r="D510" t="s">
        <v>10</v>
      </c>
      <c r="E510" t="s">
        <v>24</v>
      </c>
      <c r="F510" t="s">
        <v>17</v>
      </c>
      <c r="G510" t="s">
        <v>13</v>
      </c>
      <c r="H510">
        <v>94323.16</v>
      </c>
      <c r="I510">
        <v>0</v>
      </c>
      <c r="J510" t="str">
        <f t="shared" si="35"/>
        <v>High</v>
      </c>
      <c r="K510" t="str">
        <f t="shared" si="36"/>
        <v>Normal</v>
      </c>
      <c r="L510">
        <f t="shared" si="37"/>
        <v>1</v>
      </c>
      <c r="M510">
        <f t="shared" si="38"/>
        <v>1</v>
      </c>
      <c r="N510" s="6">
        <f t="shared" si="39"/>
        <v>45678</v>
      </c>
    </row>
    <row r="511" spans="1:14" x14ac:dyDescent="0.3">
      <c r="A511">
        <v>494</v>
      </c>
      <c r="B511">
        <v>10060</v>
      </c>
      <c r="C511" t="s">
        <v>517</v>
      </c>
      <c r="D511" t="s">
        <v>23</v>
      </c>
      <c r="E511" t="s">
        <v>11</v>
      </c>
      <c r="F511" t="s">
        <v>12</v>
      </c>
      <c r="G511" t="s">
        <v>25</v>
      </c>
      <c r="H511">
        <v>23790.73</v>
      </c>
      <c r="I511">
        <v>0</v>
      </c>
      <c r="J511" t="str">
        <f t="shared" si="35"/>
        <v>High</v>
      </c>
      <c r="K511" t="str">
        <f t="shared" si="36"/>
        <v>Normal</v>
      </c>
      <c r="L511">
        <f t="shared" si="37"/>
        <v>1</v>
      </c>
      <c r="M511">
        <f t="shared" si="38"/>
        <v>1</v>
      </c>
      <c r="N511" s="6">
        <f t="shared" si="39"/>
        <v>45678</v>
      </c>
    </row>
    <row r="512" spans="1:14" x14ac:dyDescent="0.3">
      <c r="A512">
        <v>495</v>
      </c>
      <c r="B512">
        <v>10063</v>
      </c>
      <c r="C512" t="s">
        <v>518</v>
      </c>
      <c r="D512" t="s">
        <v>29</v>
      </c>
      <c r="E512" t="s">
        <v>11</v>
      </c>
      <c r="F512" t="s">
        <v>17</v>
      </c>
      <c r="G512" t="s">
        <v>13</v>
      </c>
      <c r="H512">
        <v>10850.66</v>
      </c>
      <c r="I512">
        <v>0</v>
      </c>
      <c r="J512" t="str">
        <f t="shared" si="35"/>
        <v>High</v>
      </c>
      <c r="K512" t="str">
        <f t="shared" si="36"/>
        <v>Normal</v>
      </c>
      <c r="L512">
        <f t="shared" si="37"/>
        <v>1</v>
      </c>
      <c r="M512">
        <f t="shared" si="38"/>
        <v>1</v>
      </c>
      <c r="N512" s="6">
        <f t="shared" si="39"/>
        <v>45678</v>
      </c>
    </row>
    <row r="513" spans="1:14" x14ac:dyDescent="0.3">
      <c r="A513">
        <v>496</v>
      </c>
      <c r="B513">
        <v>10062</v>
      </c>
      <c r="C513" t="s">
        <v>519</v>
      </c>
      <c r="D513" t="s">
        <v>29</v>
      </c>
      <c r="E513" t="s">
        <v>11</v>
      </c>
      <c r="F513" t="s">
        <v>12</v>
      </c>
      <c r="G513" t="s">
        <v>13</v>
      </c>
      <c r="H513">
        <v>76836.009999999995</v>
      </c>
      <c r="I513">
        <v>1</v>
      </c>
      <c r="J513" t="str">
        <f t="shared" si="35"/>
        <v>High</v>
      </c>
      <c r="K513" t="str">
        <f t="shared" si="36"/>
        <v>High Risk</v>
      </c>
      <c r="L513">
        <f t="shared" si="37"/>
        <v>1</v>
      </c>
      <c r="M513">
        <f t="shared" si="38"/>
        <v>1</v>
      </c>
      <c r="N513" s="6">
        <f t="shared" si="39"/>
        <v>45678</v>
      </c>
    </row>
    <row r="514" spans="1:14" x14ac:dyDescent="0.3">
      <c r="A514">
        <v>497</v>
      </c>
      <c r="B514">
        <v>10068</v>
      </c>
      <c r="C514" t="s">
        <v>520</v>
      </c>
      <c r="D514" t="s">
        <v>10</v>
      </c>
      <c r="E514" t="s">
        <v>11</v>
      </c>
      <c r="F514" t="s">
        <v>12</v>
      </c>
      <c r="G514" t="s">
        <v>25</v>
      </c>
      <c r="H514">
        <v>50097.68</v>
      </c>
      <c r="I514">
        <v>1</v>
      </c>
      <c r="J514" t="str">
        <f t="shared" ref="J514:J577" si="40">IF(E514&gt;50000,"High","Normal")</f>
        <v>High</v>
      </c>
      <c r="K514" t="str">
        <f t="shared" ref="K514:K577" si="41">IF(AND(H514&gt;50000,E514="Online"),"High Risk","Normal")</f>
        <v>High Risk</v>
      </c>
      <c r="L514">
        <f t="shared" ref="L514:L577" si="42">COUNTIFS(C:C,C514,B:B,B514)</f>
        <v>1</v>
      </c>
      <c r="M514">
        <f t="shared" ref="M514:M577" si="43">IF(E514&gt;50000,1,0) + IF(H514="Unusual",1,0) + IF(I514&gt;3,1,0)</f>
        <v>1</v>
      </c>
      <c r="N514" s="6">
        <f t="shared" ref="N514:N577" si="44">INT(C514)</f>
        <v>45678</v>
      </c>
    </row>
    <row r="515" spans="1:14" x14ac:dyDescent="0.3">
      <c r="A515">
        <v>498</v>
      </c>
      <c r="B515">
        <v>10021</v>
      </c>
      <c r="C515" t="s">
        <v>521</v>
      </c>
      <c r="D515" t="s">
        <v>23</v>
      </c>
      <c r="E515" t="s">
        <v>11</v>
      </c>
      <c r="F515" t="s">
        <v>17</v>
      </c>
      <c r="G515" t="s">
        <v>31</v>
      </c>
      <c r="H515">
        <v>43433.68</v>
      </c>
      <c r="I515">
        <v>0</v>
      </c>
      <c r="J515" t="str">
        <f t="shared" si="40"/>
        <v>High</v>
      </c>
      <c r="K515" t="str">
        <f t="shared" si="41"/>
        <v>Normal</v>
      </c>
      <c r="L515">
        <f t="shared" si="42"/>
        <v>1</v>
      </c>
      <c r="M515">
        <f t="shared" si="43"/>
        <v>1</v>
      </c>
      <c r="N515" s="6">
        <f t="shared" si="44"/>
        <v>45678</v>
      </c>
    </row>
    <row r="516" spans="1:14" x14ac:dyDescent="0.3">
      <c r="A516">
        <v>499</v>
      </c>
      <c r="B516">
        <v>10092</v>
      </c>
      <c r="C516" t="s">
        <v>522</v>
      </c>
      <c r="D516" t="s">
        <v>23</v>
      </c>
      <c r="E516" t="s">
        <v>11</v>
      </c>
      <c r="F516" t="s">
        <v>17</v>
      </c>
      <c r="G516" t="s">
        <v>31</v>
      </c>
      <c r="H516">
        <v>25025.360000000001</v>
      </c>
      <c r="I516">
        <v>0</v>
      </c>
      <c r="J516" t="str">
        <f t="shared" si="40"/>
        <v>High</v>
      </c>
      <c r="K516" t="str">
        <f t="shared" si="41"/>
        <v>Normal</v>
      </c>
      <c r="L516">
        <f t="shared" si="42"/>
        <v>1</v>
      </c>
      <c r="M516">
        <f t="shared" si="43"/>
        <v>1</v>
      </c>
      <c r="N516" s="6">
        <f t="shared" si="44"/>
        <v>45678</v>
      </c>
    </row>
    <row r="517" spans="1:14" x14ac:dyDescent="0.3">
      <c r="A517">
        <v>500</v>
      </c>
      <c r="B517">
        <v>10066</v>
      </c>
      <c r="C517" t="s">
        <v>523</v>
      </c>
      <c r="D517" t="s">
        <v>20</v>
      </c>
      <c r="E517" t="s">
        <v>11</v>
      </c>
      <c r="F517" t="s">
        <v>17</v>
      </c>
      <c r="G517" t="s">
        <v>21</v>
      </c>
      <c r="H517">
        <v>54792.4</v>
      </c>
      <c r="I517">
        <v>1</v>
      </c>
      <c r="J517" t="str">
        <f t="shared" si="40"/>
        <v>High</v>
      </c>
      <c r="K517" t="str">
        <f t="shared" si="41"/>
        <v>High Risk</v>
      </c>
      <c r="L517">
        <f t="shared" si="42"/>
        <v>1</v>
      </c>
      <c r="M517">
        <f t="shared" si="43"/>
        <v>1</v>
      </c>
      <c r="N517" s="6">
        <f t="shared" si="44"/>
        <v>45678</v>
      </c>
    </row>
    <row r="518" spans="1:14" x14ac:dyDescent="0.3">
      <c r="A518">
        <v>501</v>
      </c>
      <c r="B518">
        <v>10075</v>
      </c>
      <c r="C518" t="s">
        <v>524</v>
      </c>
      <c r="D518" t="s">
        <v>29</v>
      </c>
      <c r="E518" t="s">
        <v>24</v>
      </c>
      <c r="F518" t="s">
        <v>17</v>
      </c>
      <c r="G518" t="s">
        <v>21</v>
      </c>
      <c r="H518">
        <v>27511.02</v>
      </c>
      <c r="I518">
        <v>0</v>
      </c>
      <c r="J518" t="str">
        <f t="shared" si="40"/>
        <v>High</v>
      </c>
      <c r="K518" t="str">
        <f t="shared" si="41"/>
        <v>Normal</v>
      </c>
      <c r="L518">
        <f t="shared" si="42"/>
        <v>1</v>
      </c>
      <c r="M518">
        <f t="shared" si="43"/>
        <v>1</v>
      </c>
      <c r="N518" s="6">
        <f t="shared" si="44"/>
        <v>45678</v>
      </c>
    </row>
    <row r="519" spans="1:14" x14ac:dyDescent="0.3">
      <c r="A519">
        <v>502</v>
      </c>
      <c r="B519">
        <v>10025</v>
      </c>
      <c r="C519" t="s">
        <v>525</v>
      </c>
      <c r="D519" t="s">
        <v>15</v>
      </c>
      <c r="E519" t="s">
        <v>11</v>
      </c>
      <c r="F519" t="s">
        <v>17</v>
      </c>
      <c r="G519" t="s">
        <v>31</v>
      </c>
      <c r="H519">
        <v>90168.14</v>
      </c>
      <c r="I519">
        <v>1</v>
      </c>
      <c r="J519" t="str">
        <f t="shared" si="40"/>
        <v>High</v>
      </c>
      <c r="K519" t="str">
        <f t="shared" si="41"/>
        <v>High Risk</v>
      </c>
      <c r="L519">
        <f t="shared" si="42"/>
        <v>1</v>
      </c>
      <c r="M519">
        <f t="shared" si="43"/>
        <v>1</v>
      </c>
      <c r="N519" s="6">
        <f t="shared" si="44"/>
        <v>45678</v>
      </c>
    </row>
    <row r="520" spans="1:14" x14ac:dyDescent="0.3">
      <c r="A520">
        <v>503</v>
      </c>
      <c r="B520">
        <v>10015</v>
      </c>
      <c r="C520" t="s">
        <v>526</v>
      </c>
      <c r="D520" t="s">
        <v>29</v>
      </c>
      <c r="E520" t="s">
        <v>11</v>
      </c>
      <c r="F520" t="s">
        <v>12</v>
      </c>
      <c r="G520" t="s">
        <v>18</v>
      </c>
      <c r="H520">
        <v>21598.93</v>
      </c>
      <c r="I520">
        <v>0</v>
      </c>
      <c r="J520" t="str">
        <f t="shared" si="40"/>
        <v>High</v>
      </c>
      <c r="K520" t="str">
        <f t="shared" si="41"/>
        <v>Normal</v>
      </c>
      <c r="L520">
        <f t="shared" si="42"/>
        <v>1</v>
      </c>
      <c r="M520">
        <f t="shared" si="43"/>
        <v>1</v>
      </c>
      <c r="N520" s="6">
        <f t="shared" si="44"/>
        <v>45678</v>
      </c>
    </row>
    <row r="521" spans="1:14" x14ac:dyDescent="0.3">
      <c r="A521">
        <v>504</v>
      </c>
      <c r="B521">
        <v>10050</v>
      </c>
      <c r="C521" t="s">
        <v>527</v>
      </c>
      <c r="D521" t="s">
        <v>29</v>
      </c>
      <c r="E521" t="s">
        <v>24</v>
      </c>
      <c r="F521" t="s">
        <v>12</v>
      </c>
      <c r="G521" t="s">
        <v>13</v>
      </c>
      <c r="H521">
        <v>88447.08</v>
      </c>
      <c r="I521">
        <v>0</v>
      </c>
      <c r="J521" t="str">
        <f t="shared" si="40"/>
        <v>High</v>
      </c>
      <c r="K521" t="str">
        <f t="shared" si="41"/>
        <v>Normal</v>
      </c>
      <c r="L521">
        <f t="shared" si="42"/>
        <v>1</v>
      </c>
      <c r="M521">
        <f t="shared" si="43"/>
        <v>1</v>
      </c>
      <c r="N521" s="6">
        <f t="shared" si="44"/>
        <v>45678</v>
      </c>
    </row>
    <row r="522" spans="1:14" x14ac:dyDescent="0.3">
      <c r="A522">
        <v>457</v>
      </c>
      <c r="B522">
        <v>10052</v>
      </c>
      <c r="C522" t="s">
        <v>480</v>
      </c>
      <c r="D522" t="s">
        <v>29</v>
      </c>
      <c r="E522" t="s">
        <v>11</v>
      </c>
      <c r="F522" t="s">
        <v>17</v>
      </c>
      <c r="G522" t="s">
        <v>21</v>
      </c>
      <c r="H522">
        <v>89936.11</v>
      </c>
      <c r="I522">
        <v>1</v>
      </c>
      <c r="J522" t="str">
        <f t="shared" si="40"/>
        <v>High</v>
      </c>
      <c r="K522" t="str">
        <f t="shared" si="41"/>
        <v>High Risk</v>
      </c>
      <c r="L522">
        <f t="shared" si="42"/>
        <v>1</v>
      </c>
      <c r="M522">
        <f t="shared" si="43"/>
        <v>1</v>
      </c>
      <c r="N522" s="6">
        <f t="shared" si="44"/>
        <v>45677</v>
      </c>
    </row>
    <row r="523" spans="1:14" x14ac:dyDescent="0.3">
      <c r="A523">
        <v>458</v>
      </c>
      <c r="B523">
        <v>10059</v>
      </c>
      <c r="C523" t="s">
        <v>481</v>
      </c>
      <c r="D523" t="s">
        <v>15</v>
      </c>
      <c r="E523" t="s">
        <v>24</v>
      </c>
      <c r="F523" t="s">
        <v>12</v>
      </c>
      <c r="G523" t="s">
        <v>13</v>
      </c>
      <c r="H523">
        <v>96229.92</v>
      </c>
      <c r="I523">
        <v>0</v>
      </c>
      <c r="J523" t="str">
        <f t="shared" si="40"/>
        <v>High</v>
      </c>
      <c r="K523" t="str">
        <f t="shared" si="41"/>
        <v>Normal</v>
      </c>
      <c r="L523">
        <f t="shared" si="42"/>
        <v>1</v>
      </c>
      <c r="M523">
        <f t="shared" si="43"/>
        <v>1</v>
      </c>
      <c r="N523" s="6">
        <f t="shared" si="44"/>
        <v>45677</v>
      </c>
    </row>
    <row r="524" spans="1:14" x14ac:dyDescent="0.3">
      <c r="A524">
        <v>459</v>
      </c>
      <c r="B524">
        <v>10004</v>
      </c>
      <c r="C524" t="s">
        <v>482</v>
      </c>
      <c r="D524" t="s">
        <v>23</v>
      </c>
      <c r="E524" t="s">
        <v>16</v>
      </c>
      <c r="F524" t="s">
        <v>12</v>
      </c>
      <c r="G524" t="s">
        <v>13</v>
      </c>
      <c r="H524">
        <v>44467.11</v>
      </c>
      <c r="I524">
        <v>0</v>
      </c>
      <c r="J524" t="str">
        <f t="shared" si="40"/>
        <v>High</v>
      </c>
      <c r="K524" t="str">
        <f t="shared" si="41"/>
        <v>Normal</v>
      </c>
      <c r="L524">
        <f t="shared" si="42"/>
        <v>1</v>
      </c>
      <c r="M524">
        <f t="shared" si="43"/>
        <v>1</v>
      </c>
      <c r="N524" s="6">
        <f t="shared" si="44"/>
        <v>45677</v>
      </c>
    </row>
    <row r="525" spans="1:14" x14ac:dyDescent="0.3">
      <c r="A525">
        <v>460</v>
      </c>
      <c r="B525">
        <v>10067</v>
      </c>
      <c r="C525" t="s">
        <v>483</v>
      </c>
      <c r="D525" t="s">
        <v>10</v>
      </c>
      <c r="E525" t="s">
        <v>24</v>
      </c>
      <c r="F525" t="s">
        <v>17</v>
      </c>
      <c r="G525" t="s">
        <v>31</v>
      </c>
      <c r="H525">
        <v>75027.839999999997</v>
      </c>
      <c r="I525">
        <v>0</v>
      </c>
      <c r="J525" t="str">
        <f t="shared" si="40"/>
        <v>High</v>
      </c>
      <c r="K525" t="str">
        <f t="shared" si="41"/>
        <v>Normal</v>
      </c>
      <c r="L525">
        <f t="shared" si="42"/>
        <v>1</v>
      </c>
      <c r="M525">
        <f t="shared" si="43"/>
        <v>1</v>
      </c>
      <c r="N525" s="6">
        <f t="shared" si="44"/>
        <v>45677</v>
      </c>
    </row>
    <row r="526" spans="1:14" x14ac:dyDescent="0.3">
      <c r="A526">
        <v>461</v>
      </c>
      <c r="B526">
        <v>10005</v>
      </c>
      <c r="C526" t="s">
        <v>484</v>
      </c>
      <c r="D526" t="s">
        <v>23</v>
      </c>
      <c r="E526" t="s">
        <v>16</v>
      </c>
      <c r="F526" t="s">
        <v>17</v>
      </c>
      <c r="G526" t="s">
        <v>13</v>
      </c>
      <c r="H526">
        <v>53212.94</v>
      </c>
      <c r="I526">
        <v>0</v>
      </c>
      <c r="J526" t="str">
        <f t="shared" si="40"/>
        <v>High</v>
      </c>
      <c r="K526" t="str">
        <f t="shared" si="41"/>
        <v>Normal</v>
      </c>
      <c r="L526">
        <f t="shared" si="42"/>
        <v>1</v>
      </c>
      <c r="M526">
        <f t="shared" si="43"/>
        <v>1</v>
      </c>
      <c r="N526" s="6">
        <f t="shared" si="44"/>
        <v>45677</v>
      </c>
    </row>
    <row r="527" spans="1:14" x14ac:dyDescent="0.3">
      <c r="A527">
        <v>462</v>
      </c>
      <c r="B527">
        <v>10095</v>
      </c>
      <c r="C527" t="s">
        <v>485</v>
      </c>
      <c r="D527" t="s">
        <v>29</v>
      </c>
      <c r="E527" t="s">
        <v>11</v>
      </c>
      <c r="F527" t="s">
        <v>12</v>
      </c>
      <c r="G527" t="s">
        <v>25</v>
      </c>
      <c r="H527">
        <v>53824.52</v>
      </c>
      <c r="I527">
        <v>1</v>
      </c>
      <c r="J527" t="str">
        <f t="shared" si="40"/>
        <v>High</v>
      </c>
      <c r="K527" t="str">
        <f t="shared" si="41"/>
        <v>High Risk</v>
      </c>
      <c r="L527">
        <f t="shared" si="42"/>
        <v>1</v>
      </c>
      <c r="M527">
        <f t="shared" si="43"/>
        <v>1</v>
      </c>
      <c r="N527" s="6">
        <f t="shared" si="44"/>
        <v>45677</v>
      </c>
    </row>
    <row r="528" spans="1:14" x14ac:dyDescent="0.3">
      <c r="A528">
        <v>463</v>
      </c>
      <c r="B528">
        <v>10093</v>
      </c>
      <c r="C528" t="s">
        <v>486</v>
      </c>
      <c r="D528" t="s">
        <v>10</v>
      </c>
      <c r="E528" t="s">
        <v>11</v>
      </c>
      <c r="F528" t="s">
        <v>17</v>
      </c>
      <c r="G528" t="s">
        <v>21</v>
      </c>
      <c r="H528">
        <v>27882.14</v>
      </c>
      <c r="I528">
        <v>0</v>
      </c>
      <c r="J528" t="str">
        <f t="shared" si="40"/>
        <v>High</v>
      </c>
      <c r="K528" t="str">
        <f t="shared" si="41"/>
        <v>Normal</v>
      </c>
      <c r="L528">
        <f t="shared" si="42"/>
        <v>1</v>
      </c>
      <c r="M528">
        <f t="shared" si="43"/>
        <v>1</v>
      </c>
      <c r="N528" s="6">
        <f t="shared" si="44"/>
        <v>45677</v>
      </c>
    </row>
    <row r="529" spans="1:14" x14ac:dyDescent="0.3">
      <c r="A529">
        <v>464</v>
      </c>
      <c r="B529">
        <v>10046</v>
      </c>
      <c r="C529" t="s">
        <v>487</v>
      </c>
      <c r="D529" t="s">
        <v>20</v>
      </c>
      <c r="E529" t="s">
        <v>11</v>
      </c>
      <c r="F529" t="s">
        <v>12</v>
      </c>
      <c r="G529" t="s">
        <v>25</v>
      </c>
      <c r="H529">
        <v>21773.93</v>
      </c>
      <c r="I529">
        <v>0</v>
      </c>
      <c r="J529" t="str">
        <f t="shared" si="40"/>
        <v>High</v>
      </c>
      <c r="K529" t="str">
        <f t="shared" si="41"/>
        <v>Normal</v>
      </c>
      <c r="L529">
        <f t="shared" si="42"/>
        <v>1</v>
      </c>
      <c r="M529">
        <f t="shared" si="43"/>
        <v>1</v>
      </c>
      <c r="N529" s="6">
        <f t="shared" si="44"/>
        <v>45677</v>
      </c>
    </row>
    <row r="530" spans="1:14" x14ac:dyDescent="0.3">
      <c r="A530">
        <v>465</v>
      </c>
      <c r="B530">
        <v>10098</v>
      </c>
      <c r="C530" t="s">
        <v>488</v>
      </c>
      <c r="D530" t="s">
        <v>23</v>
      </c>
      <c r="E530" t="s">
        <v>11</v>
      </c>
      <c r="F530" t="s">
        <v>17</v>
      </c>
      <c r="G530" t="s">
        <v>18</v>
      </c>
      <c r="H530">
        <v>28871.73</v>
      </c>
      <c r="I530">
        <v>0</v>
      </c>
      <c r="J530" t="str">
        <f t="shared" si="40"/>
        <v>High</v>
      </c>
      <c r="K530" t="str">
        <f t="shared" si="41"/>
        <v>Normal</v>
      </c>
      <c r="L530">
        <f t="shared" si="42"/>
        <v>1</v>
      </c>
      <c r="M530">
        <f t="shared" si="43"/>
        <v>1</v>
      </c>
      <c r="N530" s="6">
        <f t="shared" si="44"/>
        <v>45677</v>
      </c>
    </row>
    <row r="531" spans="1:14" x14ac:dyDescent="0.3">
      <c r="A531">
        <v>466</v>
      </c>
      <c r="B531">
        <v>10054</v>
      </c>
      <c r="C531" t="s">
        <v>489</v>
      </c>
      <c r="D531" t="s">
        <v>10</v>
      </c>
      <c r="E531" t="s">
        <v>24</v>
      </c>
      <c r="F531" t="s">
        <v>12</v>
      </c>
      <c r="G531" t="s">
        <v>31</v>
      </c>
      <c r="H531">
        <v>55677.17</v>
      </c>
      <c r="I531">
        <v>0</v>
      </c>
      <c r="J531" t="str">
        <f t="shared" si="40"/>
        <v>High</v>
      </c>
      <c r="K531" t="str">
        <f t="shared" si="41"/>
        <v>Normal</v>
      </c>
      <c r="L531">
        <f t="shared" si="42"/>
        <v>1</v>
      </c>
      <c r="M531">
        <f t="shared" si="43"/>
        <v>1</v>
      </c>
      <c r="N531" s="6">
        <f t="shared" si="44"/>
        <v>45677</v>
      </c>
    </row>
    <row r="532" spans="1:14" x14ac:dyDescent="0.3">
      <c r="A532">
        <v>467</v>
      </c>
      <c r="B532">
        <v>10039</v>
      </c>
      <c r="C532" t="s">
        <v>490</v>
      </c>
      <c r="D532" t="s">
        <v>23</v>
      </c>
      <c r="E532" t="s">
        <v>24</v>
      </c>
      <c r="F532" t="s">
        <v>12</v>
      </c>
      <c r="G532" t="s">
        <v>13</v>
      </c>
      <c r="H532">
        <v>3012.6</v>
      </c>
      <c r="I532">
        <v>0</v>
      </c>
      <c r="J532" t="str">
        <f t="shared" si="40"/>
        <v>High</v>
      </c>
      <c r="K532" t="str">
        <f t="shared" si="41"/>
        <v>Normal</v>
      </c>
      <c r="L532">
        <f t="shared" si="42"/>
        <v>1</v>
      </c>
      <c r="M532">
        <f t="shared" si="43"/>
        <v>1</v>
      </c>
      <c r="N532" s="6">
        <f t="shared" si="44"/>
        <v>45677</v>
      </c>
    </row>
    <row r="533" spans="1:14" x14ac:dyDescent="0.3">
      <c r="A533">
        <v>468</v>
      </c>
      <c r="B533">
        <v>10051</v>
      </c>
      <c r="C533" t="s">
        <v>491</v>
      </c>
      <c r="D533" t="s">
        <v>10</v>
      </c>
      <c r="E533" t="s">
        <v>11</v>
      </c>
      <c r="F533" t="s">
        <v>12</v>
      </c>
      <c r="G533" t="s">
        <v>18</v>
      </c>
      <c r="H533">
        <v>90734.17</v>
      </c>
      <c r="I533">
        <v>1</v>
      </c>
      <c r="J533" t="str">
        <f t="shared" si="40"/>
        <v>High</v>
      </c>
      <c r="K533" t="str">
        <f t="shared" si="41"/>
        <v>High Risk</v>
      </c>
      <c r="L533">
        <f t="shared" si="42"/>
        <v>1</v>
      </c>
      <c r="M533">
        <f t="shared" si="43"/>
        <v>1</v>
      </c>
      <c r="N533" s="6">
        <f t="shared" si="44"/>
        <v>45677</v>
      </c>
    </row>
    <row r="534" spans="1:14" x14ac:dyDescent="0.3">
      <c r="A534">
        <v>469</v>
      </c>
      <c r="B534">
        <v>10015</v>
      </c>
      <c r="C534" t="s">
        <v>492</v>
      </c>
      <c r="D534" t="s">
        <v>15</v>
      </c>
      <c r="E534" t="s">
        <v>11</v>
      </c>
      <c r="F534" t="s">
        <v>12</v>
      </c>
      <c r="G534" t="s">
        <v>13</v>
      </c>
      <c r="H534">
        <v>15712.74</v>
      </c>
      <c r="I534">
        <v>0</v>
      </c>
      <c r="J534" t="str">
        <f t="shared" si="40"/>
        <v>High</v>
      </c>
      <c r="K534" t="str">
        <f t="shared" si="41"/>
        <v>Normal</v>
      </c>
      <c r="L534">
        <f t="shared" si="42"/>
        <v>1</v>
      </c>
      <c r="M534">
        <f t="shared" si="43"/>
        <v>1</v>
      </c>
      <c r="N534" s="6">
        <f t="shared" si="44"/>
        <v>45677</v>
      </c>
    </row>
    <row r="535" spans="1:14" x14ac:dyDescent="0.3">
      <c r="A535">
        <v>470</v>
      </c>
      <c r="B535">
        <v>10012</v>
      </c>
      <c r="C535" t="s">
        <v>493</v>
      </c>
      <c r="D535" t="s">
        <v>23</v>
      </c>
      <c r="E535" t="s">
        <v>11</v>
      </c>
      <c r="F535" t="s">
        <v>17</v>
      </c>
      <c r="G535" t="s">
        <v>21</v>
      </c>
      <c r="H535">
        <v>22086.86</v>
      </c>
      <c r="I535">
        <v>0</v>
      </c>
      <c r="J535" t="str">
        <f t="shared" si="40"/>
        <v>High</v>
      </c>
      <c r="K535" t="str">
        <f t="shared" si="41"/>
        <v>Normal</v>
      </c>
      <c r="L535">
        <f t="shared" si="42"/>
        <v>1</v>
      </c>
      <c r="M535">
        <f t="shared" si="43"/>
        <v>1</v>
      </c>
      <c r="N535" s="6">
        <f t="shared" si="44"/>
        <v>45677</v>
      </c>
    </row>
    <row r="536" spans="1:14" x14ac:dyDescent="0.3">
      <c r="A536">
        <v>471</v>
      </c>
      <c r="B536">
        <v>10029</v>
      </c>
      <c r="C536" t="s">
        <v>494</v>
      </c>
      <c r="D536" t="s">
        <v>20</v>
      </c>
      <c r="E536" t="s">
        <v>24</v>
      </c>
      <c r="F536" t="s">
        <v>17</v>
      </c>
      <c r="G536" t="s">
        <v>21</v>
      </c>
      <c r="H536">
        <v>51875.79</v>
      </c>
      <c r="I536">
        <v>0</v>
      </c>
      <c r="J536" t="str">
        <f t="shared" si="40"/>
        <v>High</v>
      </c>
      <c r="K536" t="str">
        <f t="shared" si="41"/>
        <v>Normal</v>
      </c>
      <c r="L536">
        <f t="shared" si="42"/>
        <v>1</v>
      </c>
      <c r="M536">
        <f t="shared" si="43"/>
        <v>1</v>
      </c>
      <c r="N536" s="6">
        <f t="shared" si="44"/>
        <v>45677</v>
      </c>
    </row>
    <row r="537" spans="1:14" x14ac:dyDescent="0.3">
      <c r="A537">
        <v>472</v>
      </c>
      <c r="B537">
        <v>10018</v>
      </c>
      <c r="C537" t="s">
        <v>495</v>
      </c>
      <c r="D537" t="s">
        <v>20</v>
      </c>
      <c r="E537" t="s">
        <v>11</v>
      </c>
      <c r="F537" t="s">
        <v>12</v>
      </c>
      <c r="G537" t="s">
        <v>21</v>
      </c>
      <c r="H537">
        <v>71040.47</v>
      </c>
      <c r="I537">
        <v>1</v>
      </c>
      <c r="J537" t="str">
        <f t="shared" si="40"/>
        <v>High</v>
      </c>
      <c r="K537" t="str">
        <f t="shared" si="41"/>
        <v>High Risk</v>
      </c>
      <c r="L537">
        <f t="shared" si="42"/>
        <v>1</v>
      </c>
      <c r="M537">
        <f t="shared" si="43"/>
        <v>1</v>
      </c>
      <c r="N537" s="6">
        <f t="shared" si="44"/>
        <v>45677</v>
      </c>
    </row>
    <row r="538" spans="1:14" x14ac:dyDescent="0.3">
      <c r="A538">
        <v>473</v>
      </c>
      <c r="B538">
        <v>10016</v>
      </c>
      <c r="C538" t="s">
        <v>496</v>
      </c>
      <c r="D538" t="s">
        <v>29</v>
      </c>
      <c r="E538" t="s">
        <v>11</v>
      </c>
      <c r="F538" t="s">
        <v>12</v>
      </c>
      <c r="G538" t="s">
        <v>13</v>
      </c>
      <c r="H538">
        <v>9663.33</v>
      </c>
      <c r="I538">
        <v>0</v>
      </c>
      <c r="J538" t="str">
        <f t="shared" si="40"/>
        <v>High</v>
      </c>
      <c r="K538" t="str">
        <f t="shared" si="41"/>
        <v>Normal</v>
      </c>
      <c r="L538">
        <f t="shared" si="42"/>
        <v>1</v>
      </c>
      <c r="M538">
        <f t="shared" si="43"/>
        <v>1</v>
      </c>
      <c r="N538" s="6">
        <f t="shared" si="44"/>
        <v>45677</v>
      </c>
    </row>
    <row r="539" spans="1:14" x14ac:dyDescent="0.3">
      <c r="A539">
        <v>474</v>
      </c>
      <c r="B539">
        <v>10062</v>
      </c>
      <c r="C539" t="s">
        <v>497</v>
      </c>
      <c r="D539" t="s">
        <v>10</v>
      </c>
      <c r="E539" t="s">
        <v>11</v>
      </c>
      <c r="F539" t="s">
        <v>17</v>
      </c>
      <c r="G539" t="s">
        <v>18</v>
      </c>
      <c r="H539">
        <v>31837.7</v>
      </c>
      <c r="I539">
        <v>0</v>
      </c>
      <c r="J539" t="str">
        <f t="shared" si="40"/>
        <v>High</v>
      </c>
      <c r="K539" t="str">
        <f t="shared" si="41"/>
        <v>Normal</v>
      </c>
      <c r="L539">
        <f t="shared" si="42"/>
        <v>1</v>
      </c>
      <c r="M539">
        <f t="shared" si="43"/>
        <v>1</v>
      </c>
      <c r="N539" s="6">
        <f t="shared" si="44"/>
        <v>45677</v>
      </c>
    </row>
    <row r="540" spans="1:14" x14ac:dyDescent="0.3">
      <c r="A540">
        <v>475</v>
      </c>
      <c r="B540">
        <v>10018</v>
      </c>
      <c r="C540" t="s">
        <v>498</v>
      </c>
      <c r="D540" t="s">
        <v>23</v>
      </c>
      <c r="E540" t="s">
        <v>16</v>
      </c>
      <c r="F540" t="s">
        <v>17</v>
      </c>
      <c r="G540" t="s">
        <v>21</v>
      </c>
      <c r="H540">
        <v>96870.59</v>
      </c>
      <c r="I540">
        <v>0</v>
      </c>
      <c r="J540" t="str">
        <f t="shared" si="40"/>
        <v>High</v>
      </c>
      <c r="K540" t="str">
        <f t="shared" si="41"/>
        <v>Normal</v>
      </c>
      <c r="L540">
        <f t="shared" si="42"/>
        <v>1</v>
      </c>
      <c r="M540">
        <f t="shared" si="43"/>
        <v>1</v>
      </c>
      <c r="N540" s="6">
        <f t="shared" si="44"/>
        <v>45677</v>
      </c>
    </row>
    <row r="541" spans="1:14" x14ac:dyDescent="0.3">
      <c r="A541">
        <v>476</v>
      </c>
      <c r="B541">
        <v>10091</v>
      </c>
      <c r="C541" t="s">
        <v>499</v>
      </c>
      <c r="D541" t="s">
        <v>29</v>
      </c>
      <c r="E541" t="s">
        <v>11</v>
      </c>
      <c r="F541" t="s">
        <v>17</v>
      </c>
      <c r="G541" t="s">
        <v>18</v>
      </c>
      <c r="H541">
        <v>26308.06</v>
      </c>
      <c r="I541">
        <v>0</v>
      </c>
      <c r="J541" t="str">
        <f t="shared" si="40"/>
        <v>High</v>
      </c>
      <c r="K541" t="str">
        <f t="shared" si="41"/>
        <v>Normal</v>
      </c>
      <c r="L541">
        <f t="shared" si="42"/>
        <v>1</v>
      </c>
      <c r="M541">
        <f t="shared" si="43"/>
        <v>1</v>
      </c>
      <c r="N541" s="6">
        <f t="shared" si="44"/>
        <v>45677</v>
      </c>
    </row>
    <row r="542" spans="1:14" x14ac:dyDescent="0.3">
      <c r="A542">
        <v>477</v>
      </c>
      <c r="B542">
        <v>10057</v>
      </c>
      <c r="C542" t="s">
        <v>500</v>
      </c>
      <c r="D542" t="s">
        <v>23</v>
      </c>
      <c r="E542" t="s">
        <v>16</v>
      </c>
      <c r="F542" t="s">
        <v>17</v>
      </c>
      <c r="G542" t="s">
        <v>13</v>
      </c>
      <c r="H542">
        <v>31373.71</v>
      </c>
      <c r="I542">
        <v>0</v>
      </c>
      <c r="J542" t="str">
        <f t="shared" si="40"/>
        <v>High</v>
      </c>
      <c r="K542" t="str">
        <f t="shared" si="41"/>
        <v>Normal</v>
      </c>
      <c r="L542">
        <f t="shared" si="42"/>
        <v>1</v>
      </c>
      <c r="M542">
        <f t="shared" si="43"/>
        <v>1</v>
      </c>
      <c r="N542" s="6">
        <f t="shared" si="44"/>
        <v>45677</v>
      </c>
    </row>
    <row r="543" spans="1:14" x14ac:dyDescent="0.3">
      <c r="A543">
        <v>478</v>
      </c>
      <c r="B543">
        <v>10054</v>
      </c>
      <c r="C543" t="s">
        <v>501</v>
      </c>
      <c r="D543" t="s">
        <v>10</v>
      </c>
      <c r="E543" t="s">
        <v>16</v>
      </c>
      <c r="F543" t="s">
        <v>17</v>
      </c>
      <c r="G543" t="s">
        <v>18</v>
      </c>
      <c r="H543">
        <v>83666.2</v>
      </c>
      <c r="I543">
        <v>0</v>
      </c>
      <c r="J543" t="str">
        <f t="shared" si="40"/>
        <v>High</v>
      </c>
      <c r="K543" t="str">
        <f t="shared" si="41"/>
        <v>Normal</v>
      </c>
      <c r="L543">
        <f t="shared" si="42"/>
        <v>1</v>
      </c>
      <c r="M543">
        <f t="shared" si="43"/>
        <v>1</v>
      </c>
      <c r="N543" s="6">
        <f t="shared" si="44"/>
        <v>45677</v>
      </c>
    </row>
    <row r="544" spans="1:14" x14ac:dyDescent="0.3">
      <c r="A544">
        <v>479</v>
      </c>
      <c r="B544">
        <v>10089</v>
      </c>
      <c r="C544" t="s">
        <v>502</v>
      </c>
      <c r="D544" t="s">
        <v>20</v>
      </c>
      <c r="E544" t="s">
        <v>11</v>
      </c>
      <c r="F544" t="s">
        <v>17</v>
      </c>
      <c r="G544" t="s">
        <v>13</v>
      </c>
      <c r="H544">
        <v>5116.42</v>
      </c>
      <c r="I544">
        <v>0</v>
      </c>
      <c r="J544" t="str">
        <f t="shared" si="40"/>
        <v>High</v>
      </c>
      <c r="K544" t="str">
        <f t="shared" si="41"/>
        <v>Normal</v>
      </c>
      <c r="L544">
        <f t="shared" si="42"/>
        <v>1</v>
      </c>
      <c r="M544">
        <f t="shared" si="43"/>
        <v>1</v>
      </c>
      <c r="N544" s="6">
        <f t="shared" si="44"/>
        <v>45677</v>
      </c>
    </row>
    <row r="545" spans="1:14" x14ac:dyDescent="0.3">
      <c r="A545">
        <v>480</v>
      </c>
      <c r="B545">
        <v>10089</v>
      </c>
      <c r="C545" t="s">
        <v>503</v>
      </c>
      <c r="D545" t="s">
        <v>15</v>
      </c>
      <c r="E545" t="s">
        <v>16</v>
      </c>
      <c r="F545" t="s">
        <v>12</v>
      </c>
      <c r="G545" t="s">
        <v>13</v>
      </c>
      <c r="H545">
        <v>46514.86</v>
      </c>
      <c r="I545">
        <v>0</v>
      </c>
      <c r="J545" t="str">
        <f t="shared" si="40"/>
        <v>High</v>
      </c>
      <c r="K545" t="str">
        <f t="shared" si="41"/>
        <v>Normal</v>
      </c>
      <c r="L545">
        <f t="shared" si="42"/>
        <v>1</v>
      </c>
      <c r="M545">
        <f t="shared" si="43"/>
        <v>1</v>
      </c>
      <c r="N545" s="6">
        <f t="shared" si="44"/>
        <v>45677</v>
      </c>
    </row>
    <row r="546" spans="1:14" x14ac:dyDescent="0.3">
      <c r="A546">
        <v>433</v>
      </c>
      <c r="B546">
        <v>10097</v>
      </c>
      <c r="C546" t="s">
        <v>456</v>
      </c>
      <c r="D546" t="s">
        <v>29</v>
      </c>
      <c r="E546" t="s">
        <v>16</v>
      </c>
      <c r="F546" t="s">
        <v>12</v>
      </c>
      <c r="G546" t="s">
        <v>18</v>
      </c>
      <c r="H546">
        <v>7749.17</v>
      </c>
      <c r="I546">
        <v>0</v>
      </c>
      <c r="J546" t="str">
        <f t="shared" si="40"/>
        <v>High</v>
      </c>
      <c r="K546" t="str">
        <f t="shared" si="41"/>
        <v>Normal</v>
      </c>
      <c r="L546">
        <f t="shared" si="42"/>
        <v>1</v>
      </c>
      <c r="M546">
        <f t="shared" si="43"/>
        <v>1</v>
      </c>
      <c r="N546" s="6">
        <f t="shared" si="44"/>
        <v>45676</v>
      </c>
    </row>
    <row r="547" spans="1:14" x14ac:dyDescent="0.3">
      <c r="A547">
        <v>434</v>
      </c>
      <c r="B547">
        <v>10065</v>
      </c>
      <c r="C547" t="s">
        <v>457</v>
      </c>
      <c r="D547" t="s">
        <v>15</v>
      </c>
      <c r="E547" t="s">
        <v>11</v>
      </c>
      <c r="F547" t="s">
        <v>12</v>
      </c>
      <c r="G547" t="s">
        <v>21</v>
      </c>
      <c r="H547">
        <v>42134.04</v>
      </c>
      <c r="I547">
        <v>0</v>
      </c>
      <c r="J547" t="str">
        <f t="shared" si="40"/>
        <v>High</v>
      </c>
      <c r="K547" t="str">
        <f t="shared" si="41"/>
        <v>Normal</v>
      </c>
      <c r="L547">
        <f t="shared" si="42"/>
        <v>1</v>
      </c>
      <c r="M547">
        <f t="shared" si="43"/>
        <v>1</v>
      </c>
      <c r="N547" s="6">
        <f t="shared" si="44"/>
        <v>45676</v>
      </c>
    </row>
    <row r="548" spans="1:14" x14ac:dyDescent="0.3">
      <c r="A548">
        <v>435</v>
      </c>
      <c r="B548">
        <v>10031</v>
      </c>
      <c r="C548" t="s">
        <v>458</v>
      </c>
      <c r="D548" t="s">
        <v>10</v>
      </c>
      <c r="E548" t="s">
        <v>16</v>
      </c>
      <c r="F548" t="s">
        <v>17</v>
      </c>
      <c r="G548" t="s">
        <v>21</v>
      </c>
      <c r="H548">
        <v>60208.05</v>
      </c>
      <c r="I548">
        <v>0</v>
      </c>
      <c r="J548" t="str">
        <f t="shared" si="40"/>
        <v>High</v>
      </c>
      <c r="K548" t="str">
        <f t="shared" si="41"/>
        <v>Normal</v>
      </c>
      <c r="L548">
        <f t="shared" si="42"/>
        <v>1</v>
      </c>
      <c r="M548">
        <f t="shared" si="43"/>
        <v>1</v>
      </c>
      <c r="N548" s="6">
        <f t="shared" si="44"/>
        <v>45676</v>
      </c>
    </row>
    <row r="549" spans="1:14" x14ac:dyDescent="0.3">
      <c r="A549">
        <v>436</v>
      </c>
      <c r="B549">
        <v>10086</v>
      </c>
      <c r="C549" t="s">
        <v>459</v>
      </c>
      <c r="D549" t="s">
        <v>15</v>
      </c>
      <c r="E549" t="s">
        <v>24</v>
      </c>
      <c r="F549" t="s">
        <v>17</v>
      </c>
      <c r="G549" t="s">
        <v>25</v>
      </c>
      <c r="H549">
        <v>93717.18</v>
      </c>
      <c r="I549">
        <v>0</v>
      </c>
      <c r="J549" t="str">
        <f t="shared" si="40"/>
        <v>High</v>
      </c>
      <c r="K549" t="str">
        <f t="shared" si="41"/>
        <v>Normal</v>
      </c>
      <c r="L549">
        <f t="shared" si="42"/>
        <v>1</v>
      </c>
      <c r="M549">
        <f t="shared" si="43"/>
        <v>1</v>
      </c>
      <c r="N549" s="6">
        <f t="shared" si="44"/>
        <v>45676</v>
      </c>
    </row>
    <row r="550" spans="1:14" x14ac:dyDescent="0.3">
      <c r="A550">
        <v>437</v>
      </c>
      <c r="B550">
        <v>10062</v>
      </c>
      <c r="C550" t="s">
        <v>460</v>
      </c>
      <c r="D550" t="s">
        <v>15</v>
      </c>
      <c r="E550" t="s">
        <v>11</v>
      </c>
      <c r="F550" t="s">
        <v>17</v>
      </c>
      <c r="G550" t="s">
        <v>13</v>
      </c>
      <c r="H550">
        <v>31249.03</v>
      </c>
      <c r="I550">
        <v>0</v>
      </c>
      <c r="J550" t="str">
        <f t="shared" si="40"/>
        <v>High</v>
      </c>
      <c r="K550" t="str">
        <f t="shared" si="41"/>
        <v>Normal</v>
      </c>
      <c r="L550">
        <f t="shared" si="42"/>
        <v>1</v>
      </c>
      <c r="M550">
        <f t="shared" si="43"/>
        <v>1</v>
      </c>
      <c r="N550" s="6">
        <f t="shared" si="44"/>
        <v>45676</v>
      </c>
    </row>
    <row r="551" spans="1:14" x14ac:dyDescent="0.3">
      <c r="A551">
        <v>438</v>
      </c>
      <c r="B551">
        <v>10085</v>
      </c>
      <c r="C551" t="s">
        <v>461</v>
      </c>
      <c r="D551" t="s">
        <v>20</v>
      </c>
      <c r="E551" t="s">
        <v>16</v>
      </c>
      <c r="F551" t="s">
        <v>17</v>
      </c>
      <c r="G551" t="s">
        <v>21</v>
      </c>
      <c r="H551">
        <v>25052.240000000002</v>
      </c>
      <c r="I551">
        <v>0</v>
      </c>
      <c r="J551" t="str">
        <f t="shared" si="40"/>
        <v>High</v>
      </c>
      <c r="K551" t="str">
        <f t="shared" si="41"/>
        <v>Normal</v>
      </c>
      <c r="L551">
        <f t="shared" si="42"/>
        <v>1</v>
      </c>
      <c r="M551">
        <f t="shared" si="43"/>
        <v>1</v>
      </c>
      <c r="N551" s="6">
        <f t="shared" si="44"/>
        <v>45676</v>
      </c>
    </row>
    <row r="552" spans="1:14" x14ac:dyDescent="0.3">
      <c r="A552">
        <v>439</v>
      </c>
      <c r="B552">
        <v>10050</v>
      </c>
      <c r="C552" t="s">
        <v>462</v>
      </c>
      <c r="D552" t="s">
        <v>23</v>
      </c>
      <c r="E552" t="s">
        <v>16</v>
      </c>
      <c r="F552" t="s">
        <v>12</v>
      </c>
      <c r="G552" t="s">
        <v>18</v>
      </c>
      <c r="H552">
        <v>65450.6</v>
      </c>
      <c r="I552">
        <v>0</v>
      </c>
      <c r="J552" t="str">
        <f t="shared" si="40"/>
        <v>High</v>
      </c>
      <c r="K552" t="str">
        <f t="shared" si="41"/>
        <v>Normal</v>
      </c>
      <c r="L552">
        <f t="shared" si="42"/>
        <v>1</v>
      </c>
      <c r="M552">
        <f t="shared" si="43"/>
        <v>1</v>
      </c>
      <c r="N552" s="6">
        <f t="shared" si="44"/>
        <v>45676</v>
      </c>
    </row>
    <row r="553" spans="1:14" x14ac:dyDescent="0.3">
      <c r="A553">
        <v>440</v>
      </c>
      <c r="B553">
        <v>10024</v>
      </c>
      <c r="C553" t="s">
        <v>463</v>
      </c>
      <c r="D553" t="s">
        <v>29</v>
      </c>
      <c r="E553" t="s">
        <v>16</v>
      </c>
      <c r="F553" t="s">
        <v>17</v>
      </c>
      <c r="G553" t="s">
        <v>21</v>
      </c>
      <c r="H553">
        <v>61961.98</v>
      </c>
      <c r="I553">
        <v>0</v>
      </c>
      <c r="J553" t="str">
        <f t="shared" si="40"/>
        <v>High</v>
      </c>
      <c r="K553" t="str">
        <f t="shared" si="41"/>
        <v>Normal</v>
      </c>
      <c r="L553">
        <f t="shared" si="42"/>
        <v>1</v>
      </c>
      <c r="M553">
        <f t="shared" si="43"/>
        <v>1</v>
      </c>
      <c r="N553" s="6">
        <f t="shared" si="44"/>
        <v>45676</v>
      </c>
    </row>
    <row r="554" spans="1:14" x14ac:dyDescent="0.3">
      <c r="A554">
        <v>441</v>
      </c>
      <c r="B554">
        <v>10057</v>
      </c>
      <c r="C554" t="s">
        <v>464</v>
      </c>
      <c r="D554" t="s">
        <v>15</v>
      </c>
      <c r="E554" t="s">
        <v>24</v>
      </c>
      <c r="F554" t="s">
        <v>17</v>
      </c>
      <c r="G554" t="s">
        <v>18</v>
      </c>
      <c r="H554">
        <v>33277.769999999997</v>
      </c>
      <c r="I554">
        <v>0</v>
      </c>
      <c r="J554" t="str">
        <f t="shared" si="40"/>
        <v>High</v>
      </c>
      <c r="K554" t="str">
        <f t="shared" si="41"/>
        <v>Normal</v>
      </c>
      <c r="L554">
        <f t="shared" si="42"/>
        <v>1</v>
      </c>
      <c r="M554">
        <f t="shared" si="43"/>
        <v>1</v>
      </c>
      <c r="N554" s="6">
        <f t="shared" si="44"/>
        <v>45676</v>
      </c>
    </row>
    <row r="555" spans="1:14" x14ac:dyDescent="0.3">
      <c r="A555">
        <v>442</v>
      </c>
      <c r="B555">
        <v>10062</v>
      </c>
      <c r="C555" t="s">
        <v>465</v>
      </c>
      <c r="D555" t="s">
        <v>29</v>
      </c>
      <c r="E555" t="s">
        <v>24</v>
      </c>
      <c r="F555" t="s">
        <v>17</v>
      </c>
      <c r="G555" t="s">
        <v>31</v>
      </c>
      <c r="H555">
        <v>92817.37</v>
      </c>
      <c r="I555">
        <v>0</v>
      </c>
      <c r="J555" t="str">
        <f t="shared" si="40"/>
        <v>High</v>
      </c>
      <c r="K555" t="str">
        <f t="shared" si="41"/>
        <v>Normal</v>
      </c>
      <c r="L555">
        <f t="shared" si="42"/>
        <v>1</v>
      </c>
      <c r="M555">
        <f t="shared" si="43"/>
        <v>1</v>
      </c>
      <c r="N555" s="6">
        <f t="shared" si="44"/>
        <v>45676</v>
      </c>
    </row>
    <row r="556" spans="1:14" x14ac:dyDescent="0.3">
      <c r="A556">
        <v>443</v>
      </c>
      <c r="B556">
        <v>10061</v>
      </c>
      <c r="C556" t="s">
        <v>466</v>
      </c>
      <c r="D556" t="s">
        <v>15</v>
      </c>
      <c r="E556" t="s">
        <v>16</v>
      </c>
      <c r="F556" t="s">
        <v>12</v>
      </c>
      <c r="G556" t="s">
        <v>31</v>
      </c>
      <c r="H556">
        <v>84501.75</v>
      </c>
      <c r="I556">
        <v>0</v>
      </c>
      <c r="J556" t="str">
        <f t="shared" si="40"/>
        <v>High</v>
      </c>
      <c r="K556" t="str">
        <f t="shared" si="41"/>
        <v>Normal</v>
      </c>
      <c r="L556">
        <f t="shared" si="42"/>
        <v>1</v>
      </c>
      <c r="M556">
        <f t="shared" si="43"/>
        <v>1</v>
      </c>
      <c r="N556" s="6">
        <f t="shared" si="44"/>
        <v>45676</v>
      </c>
    </row>
    <row r="557" spans="1:14" x14ac:dyDescent="0.3">
      <c r="A557">
        <v>444</v>
      </c>
      <c r="B557">
        <v>10021</v>
      </c>
      <c r="C557" t="s">
        <v>467</v>
      </c>
      <c r="D557" t="s">
        <v>10</v>
      </c>
      <c r="E557" t="s">
        <v>11</v>
      </c>
      <c r="F557" t="s">
        <v>12</v>
      </c>
      <c r="G557" t="s">
        <v>18</v>
      </c>
      <c r="H557">
        <v>22475.86</v>
      </c>
      <c r="I557">
        <v>0</v>
      </c>
      <c r="J557" t="str">
        <f t="shared" si="40"/>
        <v>High</v>
      </c>
      <c r="K557" t="str">
        <f t="shared" si="41"/>
        <v>Normal</v>
      </c>
      <c r="L557">
        <f t="shared" si="42"/>
        <v>1</v>
      </c>
      <c r="M557">
        <f t="shared" si="43"/>
        <v>1</v>
      </c>
      <c r="N557" s="6">
        <f t="shared" si="44"/>
        <v>45676</v>
      </c>
    </row>
    <row r="558" spans="1:14" x14ac:dyDescent="0.3">
      <c r="A558">
        <v>445</v>
      </c>
      <c r="B558">
        <v>10057</v>
      </c>
      <c r="C558" t="s">
        <v>468</v>
      </c>
      <c r="D558" t="s">
        <v>15</v>
      </c>
      <c r="E558" t="s">
        <v>11</v>
      </c>
      <c r="F558" t="s">
        <v>17</v>
      </c>
      <c r="G558" t="s">
        <v>13</v>
      </c>
      <c r="H558">
        <v>23990.34</v>
      </c>
      <c r="I558">
        <v>0</v>
      </c>
      <c r="J558" t="str">
        <f t="shared" si="40"/>
        <v>High</v>
      </c>
      <c r="K558" t="str">
        <f t="shared" si="41"/>
        <v>Normal</v>
      </c>
      <c r="L558">
        <f t="shared" si="42"/>
        <v>1</v>
      </c>
      <c r="M558">
        <f t="shared" si="43"/>
        <v>1</v>
      </c>
      <c r="N558" s="6">
        <f t="shared" si="44"/>
        <v>45676</v>
      </c>
    </row>
    <row r="559" spans="1:14" x14ac:dyDescent="0.3">
      <c r="A559">
        <v>446</v>
      </c>
      <c r="B559">
        <v>10057</v>
      </c>
      <c r="C559" t="s">
        <v>469</v>
      </c>
      <c r="D559" t="s">
        <v>20</v>
      </c>
      <c r="E559" t="s">
        <v>24</v>
      </c>
      <c r="F559" t="s">
        <v>17</v>
      </c>
      <c r="G559" t="s">
        <v>21</v>
      </c>
      <c r="H559">
        <v>51278.8</v>
      </c>
      <c r="I559">
        <v>0</v>
      </c>
      <c r="J559" t="str">
        <f t="shared" si="40"/>
        <v>High</v>
      </c>
      <c r="K559" t="str">
        <f t="shared" si="41"/>
        <v>Normal</v>
      </c>
      <c r="L559">
        <f t="shared" si="42"/>
        <v>1</v>
      </c>
      <c r="M559">
        <f t="shared" si="43"/>
        <v>1</v>
      </c>
      <c r="N559" s="6">
        <f t="shared" si="44"/>
        <v>45676</v>
      </c>
    </row>
    <row r="560" spans="1:14" x14ac:dyDescent="0.3">
      <c r="A560">
        <v>447</v>
      </c>
      <c r="B560">
        <v>10085</v>
      </c>
      <c r="C560" t="s">
        <v>470</v>
      </c>
      <c r="D560" t="s">
        <v>23</v>
      </c>
      <c r="E560" t="s">
        <v>11</v>
      </c>
      <c r="F560" t="s">
        <v>17</v>
      </c>
      <c r="G560" t="s">
        <v>21</v>
      </c>
      <c r="H560">
        <v>77379.850000000006</v>
      </c>
      <c r="I560">
        <v>1</v>
      </c>
      <c r="J560" t="str">
        <f t="shared" si="40"/>
        <v>High</v>
      </c>
      <c r="K560" t="str">
        <f t="shared" si="41"/>
        <v>High Risk</v>
      </c>
      <c r="L560">
        <f t="shared" si="42"/>
        <v>1</v>
      </c>
      <c r="M560">
        <f t="shared" si="43"/>
        <v>1</v>
      </c>
      <c r="N560" s="6">
        <f t="shared" si="44"/>
        <v>45676</v>
      </c>
    </row>
    <row r="561" spans="1:14" x14ac:dyDescent="0.3">
      <c r="A561">
        <v>448</v>
      </c>
      <c r="B561">
        <v>10048</v>
      </c>
      <c r="C561" t="s">
        <v>471</v>
      </c>
      <c r="D561" t="s">
        <v>10</v>
      </c>
      <c r="E561" t="s">
        <v>24</v>
      </c>
      <c r="F561" t="s">
        <v>12</v>
      </c>
      <c r="G561" t="s">
        <v>31</v>
      </c>
      <c r="H561">
        <v>4499.63</v>
      </c>
      <c r="I561">
        <v>0</v>
      </c>
      <c r="J561" t="str">
        <f t="shared" si="40"/>
        <v>High</v>
      </c>
      <c r="K561" t="str">
        <f t="shared" si="41"/>
        <v>Normal</v>
      </c>
      <c r="L561">
        <f t="shared" si="42"/>
        <v>1</v>
      </c>
      <c r="M561">
        <f t="shared" si="43"/>
        <v>1</v>
      </c>
      <c r="N561" s="6">
        <f t="shared" si="44"/>
        <v>45676</v>
      </c>
    </row>
    <row r="562" spans="1:14" x14ac:dyDescent="0.3">
      <c r="A562">
        <v>449</v>
      </c>
      <c r="B562">
        <v>10051</v>
      </c>
      <c r="C562" t="s">
        <v>472</v>
      </c>
      <c r="D562" t="s">
        <v>15</v>
      </c>
      <c r="E562" t="s">
        <v>16</v>
      </c>
      <c r="F562" t="s">
        <v>12</v>
      </c>
      <c r="G562" t="s">
        <v>18</v>
      </c>
      <c r="H562">
        <v>69364.179999999993</v>
      </c>
      <c r="I562">
        <v>0</v>
      </c>
      <c r="J562" t="str">
        <f t="shared" si="40"/>
        <v>High</v>
      </c>
      <c r="K562" t="str">
        <f t="shared" si="41"/>
        <v>Normal</v>
      </c>
      <c r="L562">
        <f t="shared" si="42"/>
        <v>1</v>
      </c>
      <c r="M562">
        <f t="shared" si="43"/>
        <v>1</v>
      </c>
      <c r="N562" s="6">
        <f t="shared" si="44"/>
        <v>45676</v>
      </c>
    </row>
    <row r="563" spans="1:14" x14ac:dyDescent="0.3">
      <c r="A563">
        <v>450</v>
      </c>
      <c r="B563">
        <v>10041</v>
      </c>
      <c r="C563" t="s">
        <v>473</v>
      </c>
      <c r="D563" t="s">
        <v>29</v>
      </c>
      <c r="E563" t="s">
        <v>24</v>
      </c>
      <c r="F563" t="s">
        <v>12</v>
      </c>
      <c r="G563" t="s">
        <v>21</v>
      </c>
      <c r="H563">
        <v>64858.77</v>
      </c>
      <c r="I563">
        <v>0</v>
      </c>
      <c r="J563" t="str">
        <f t="shared" si="40"/>
        <v>High</v>
      </c>
      <c r="K563" t="str">
        <f t="shared" si="41"/>
        <v>Normal</v>
      </c>
      <c r="L563">
        <f t="shared" si="42"/>
        <v>1</v>
      </c>
      <c r="M563">
        <f t="shared" si="43"/>
        <v>1</v>
      </c>
      <c r="N563" s="6">
        <f t="shared" si="44"/>
        <v>45676</v>
      </c>
    </row>
    <row r="564" spans="1:14" x14ac:dyDescent="0.3">
      <c r="A564">
        <v>451</v>
      </c>
      <c r="B564">
        <v>10069</v>
      </c>
      <c r="C564" t="s">
        <v>474</v>
      </c>
      <c r="D564" t="s">
        <v>10</v>
      </c>
      <c r="E564" t="s">
        <v>24</v>
      </c>
      <c r="F564" t="s">
        <v>17</v>
      </c>
      <c r="G564" t="s">
        <v>21</v>
      </c>
      <c r="H564">
        <v>23224.86</v>
      </c>
      <c r="I564">
        <v>0</v>
      </c>
      <c r="J564" t="str">
        <f t="shared" si="40"/>
        <v>High</v>
      </c>
      <c r="K564" t="str">
        <f t="shared" si="41"/>
        <v>Normal</v>
      </c>
      <c r="L564">
        <f t="shared" si="42"/>
        <v>1</v>
      </c>
      <c r="M564">
        <f t="shared" si="43"/>
        <v>1</v>
      </c>
      <c r="N564" s="6">
        <f t="shared" si="44"/>
        <v>45676</v>
      </c>
    </row>
    <row r="565" spans="1:14" x14ac:dyDescent="0.3">
      <c r="A565">
        <v>452</v>
      </c>
      <c r="B565">
        <v>10014</v>
      </c>
      <c r="C565" t="s">
        <v>475</v>
      </c>
      <c r="D565" t="s">
        <v>10</v>
      </c>
      <c r="E565" t="s">
        <v>16</v>
      </c>
      <c r="F565" t="s">
        <v>12</v>
      </c>
      <c r="G565" t="s">
        <v>13</v>
      </c>
      <c r="H565">
        <v>68167.17</v>
      </c>
      <c r="I565">
        <v>0</v>
      </c>
      <c r="J565" t="str">
        <f t="shared" si="40"/>
        <v>High</v>
      </c>
      <c r="K565" t="str">
        <f t="shared" si="41"/>
        <v>Normal</v>
      </c>
      <c r="L565">
        <f t="shared" si="42"/>
        <v>1</v>
      </c>
      <c r="M565">
        <f t="shared" si="43"/>
        <v>1</v>
      </c>
      <c r="N565" s="6">
        <f t="shared" si="44"/>
        <v>45676</v>
      </c>
    </row>
    <row r="566" spans="1:14" x14ac:dyDescent="0.3">
      <c r="A566">
        <v>453</v>
      </c>
      <c r="B566">
        <v>10053</v>
      </c>
      <c r="C566" t="s">
        <v>476</v>
      </c>
      <c r="D566" t="s">
        <v>15</v>
      </c>
      <c r="E566" t="s">
        <v>11</v>
      </c>
      <c r="F566" t="s">
        <v>17</v>
      </c>
      <c r="G566" t="s">
        <v>25</v>
      </c>
      <c r="H566">
        <v>94024.3</v>
      </c>
      <c r="I566">
        <v>1</v>
      </c>
      <c r="J566" t="str">
        <f t="shared" si="40"/>
        <v>High</v>
      </c>
      <c r="K566" t="str">
        <f t="shared" si="41"/>
        <v>High Risk</v>
      </c>
      <c r="L566">
        <f t="shared" si="42"/>
        <v>1</v>
      </c>
      <c r="M566">
        <f t="shared" si="43"/>
        <v>1</v>
      </c>
      <c r="N566" s="6">
        <f t="shared" si="44"/>
        <v>45676</v>
      </c>
    </row>
    <row r="567" spans="1:14" x14ac:dyDescent="0.3">
      <c r="A567">
        <v>454</v>
      </c>
      <c r="B567">
        <v>10059</v>
      </c>
      <c r="C567" t="s">
        <v>477</v>
      </c>
      <c r="D567" t="s">
        <v>10</v>
      </c>
      <c r="E567" t="s">
        <v>24</v>
      </c>
      <c r="F567" t="s">
        <v>17</v>
      </c>
      <c r="G567" t="s">
        <v>31</v>
      </c>
      <c r="H567">
        <v>4773.91</v>
      </c>
      <c r="I567">
        <v>0</v>
      </c>
      <c r="J567" t="str">
        <f t="shared" si="40"/>
        <v>High</v>
      </c>
      <c r="K567" t="str">
        <f t="shared" si="41"/>
        <v>Normal</v>
      </c>
      <c r="L567">
        <f t="shared" si="42"/>
        <v>1</v>
      </c>
      <c r="M567">
        <f t="shared" si="43"/>
        <v>1</v>
      </c>
      <c r="N567" s="6">
        <f t="shared" si="44"/>
        <v>45676</v>
      </c>
    </row>
    <row r="568" spans="1:14" x14ac:dyDescent="0.3">
      <c r="A568">
        <v>455</v>
      </c>
      <c r="B568">
        <v>10096</v>
      </c>
      <c r="C568" t="s">
        <v>478</v>
      </c>
      <c r="D568" t="s">
        <v>29</v>
      </c>
      <c r="E568" t="s">
        <v>24</v>
      </c>
      <c r="F568" t="s">
        <v>17</v>
      </c>
      <c r="G568" t="s">
        <v>31</v>
      </c>
      <c r="H568">
        <v>32033.24</v>
      </c>
      <c r="I568">
        <v>0</v>
      </c>
      <c r="J568" t="str">
        <f t="shared" si="40"/>
        <v>High</v>
      </c>
      <c r="K568" t="str">
        <f t="shared" si="41"/>
        <v>Normal</v>
      </c>
      <c r="L568">
        <f t="shared" si="42"/>
        <v>1</v>
      </c>
      <c r="M568">
        <f t="shared" si="43"/>
        <v>1</v>
      </c>
      <c r="N568" s="6">
        <f t="shared" si="44"/>
        <v>45676</v>
      </c>
    </row>
    <row r="569" spans="1:14" x14ac:dyDescent="0.3">
      <c r="A569">
        <v>456</v>
      </c>
      <c r="B569">
        <v>10007</v>
      </c>
      <c r="C569" t="s">
        <v>479</v>
      </c>
      <c r="D569" t="s">
        <v>10</v>
      </c>
      <c r="E569" t="s">
        <v>16</v>
      </c>
      <c r="F569" t="s">
        <v>12</v>
      </c>
      <c r="G569" t="s">
        <v>25</v>
      </c>
      <c r="H569">
        <v>43873.85</v>
      </c>
      <c r="I569">
        <v>0</v>
      </c>
      <c r="J569" t="str">
        <f t="shared" si="40"/>
        <v>High</v>
      </c>
      <c r="K569" t="str">
        <f t="shared" si="41"/>
        <v>Normal</v>
      </c>
      <c r="L569">
        <f t="shared" si="42"/>
        <v>1</v>
      </c>
      <c r="M569">
        <f t="shared" si="43"/>
        <v>1</v>
      </c>
      <c r="N569" s="6">
        <f t="shared" si="44"/>
        <v>45676</v>
      </c>
    </row>
    <row r="570" spans="1:14" x14ac:dyDescent="0.3">
      <c r="A570">
        <v>409</v>
      </c>
      <c r="B570">
        <v>10047</v>
      </c>
      <c r="C570" t="s">
        <v>432</v>
      </c>
      <c r="D570" t="s">
        <v>15</v>
      </c>
      <c r="E570" t="s">
        <v>24</v>
      </c>
      <c r="F570" t="s">
        <v>12</v>
      </c>
      <c r="G570" t="s">
        <v>25</v>
      </c>
      <c r="H570">
        <v>13874.74</v>
      </c>
      <c r="I570">
        <v>0</v>
      </c>
      <c r="J570" t="str">
        <f t="shared" si="40"/>
        <v>High</v>
      </c>
      <c r="K570" t="str">
        <f t="shared" si="41"/>
        <v>Normal</v>
      </c>
      <c r="L570">
        <f t="shared" si="42"/>
        <v>1</v>
      </c>
      <c r="M570">
        <f t="shared" si="43"/>
        <v>1</v>
      </c>
      <c r="N570" s="6">
        <f t="shared" si="44"/>
        <v>45675</v>
      </c>
    </row>
    <row r="571" spans="1:14" x14ac:dyDescent="0.3">
      <c r="A571">
        <v>410</v>
      </c>
      <c r="B571">
        <v>10038</v>
      </c>
      <c r="C571" t="s">
        <v>433</v>
      </c>
      <c r="D571" t="s">
        <v>15</v>
      </c>
      <c r="E571" t="s">
        <v>11</v>
      </c>
      <c r="F571" t="s">
        <v>17</v>
      </c>
      <c r="G571" t="s">
        <v>21</v>
      </c>
      <c r="H571">
        <v>68907.38</v>
      </c>
      <c r="I571">
        <v>1</v>
      </c>
      <c r="J571" t="str">
        <f t="shared" si="40"/>
        <v>High</v>
      </c>
      <c r="K571" t="str">
        <f t="shared" si="41"/>
        <v>High Risk</v>
      </c>
      <c r="L571">
        <f t="shared" si="42"/>
        <v>1</v>
      </c>
      <c r="M571">
        <f t="shared" si="43"/>
        <v>1</v>
      </c>
      <c r="N571" s="6">
        <f t="shared" si="44"/>
        <v>45675</v>
      </c>
    </row>
    <row r="572" spans="1:14" x14ac:dyDescent="0.3">
      <c r="A572">
        <v>411</v>
      </c>
      <c r="B572">
        <v>10092</v>
      </c>
      <c r="C572" t="s">
        <v>434</v>
      </c>
      <c r="D572" t="s">
        <v>15</v>
      </c>
      <c r="E572" t="s">
        <v>16</v>
      </c>
      <c r="F572" t="s">
        <v>17</v>
      </c>
      <c r="G572" t="s">
        <v>21</v>
      </c>
      <c r="H572">
        <v>89784.58</v>
      </c>
      <c r="I572">
        <v>0</v>
      </c>
      <c r="J572" t="str">
        <f t="shared" si="40"/>
        <v>High</v>
      </c>
      <c r="K572" t="str">
        <f t="shared" si="41"/>
        <v>Normal</v>
      </c>
      <c r="L572">
        <f t="shared" si="42"/>
        <v>1</v>
      </c>
      <c r="M572">
        <f t="shared" si="43"/>
        <v>1</v>
      </c>
      <c r="N572" s="6">
        <f t="shared" si="44"/>
        <v>45675</v>
      </c>
    </row>
    <row r="573" spans="1:14" x14ac:dyDescent="0.3">
      <c r="A573">
        <v>412</v>
      </c>
      <c r="B573">
        <v>10041</v>
      </c>
      <c r="C573" t="s">
        <v>435</v>
      </c>
      <c r="D573" t="s">
        <v>15</v>
      </c>
      <c r="E573" t="s">
        <v>16</v>
      </c>
      <c r="F573" t="s">
        <v>17</v>
      </c>
      <c r="G573" t="s">
        <v>13</v>
      </c>
      <c r="H573">
        <v>74543.429999999993</v>
      </c>
      <c r="I573">
        <v>0</v>
      </c>
      <c r="J573" t="str">
        <f t="shared" si="40"/>
        <v>High</v>
      </c>
      <c r="K573" t="str">
        <f t="shared" si="41"/>
        <v>Normal</v>
      </c>
      <c r="L573">
        <f t="shared" si="42"/>
        <v>1</v>
      </c>
      <c r="M573">
        <f t="shared" si="43"/>
        <v>1</v>
      </c>
      <c r="N573" s="6">
        <f t="shared" si="44"/>
        <v>45675</v>
      </c>
    </row>
    <row r="574" spans="1:14" x14ac:dyDescent="0.3">
      <c r="A574">
        <v>413</v>
      </c>
      <c r="B574">
        <v>10025</v>
      </c>
      <c r="C574" t="s">
        <v>436</v>
      </c>
      <c r="D574" t="s">
        <v>15</v>
      </c>
      <c r="E574" t="s">
        <v>11</v>
      </c>
      <c r="F574" t="s">
        <v>17</v>
      </c>
      <c r="G574" t="s">
        <v>25</v>
      </c>
      <c r="H574">
        <v>7736.34</v>
      </c>
      <c r="I574">
        <v>0</v>
      </c>
      <c r="J574" t="str">
        <f t="shared" si="40"/>
        <v>High</v>
      </c>
      <c r="K574" t="str">
        <f t="shared" si="41"/>
        <v>Normal</v>
      </c>
      <c r="L574">
        <f t="shared" si="42"/>
        <v>1</v>
      </c>
      <c r="M574">
        <f t="shared" si="43"/>
        <v>1</v>
      </c>
      <c r="N574" s="6">
        <f t="shared" si="44"/>
        <v>45675</v>
      </c>
    </row>
    <row r="575" spans="1:14" x14ac:dyDescent="0.3">
      <c r="A575">
        <v>414</v>
      </c>
      <c r="B575">
        <v>10098</v>
      </c>
      <c r="C575" t="s">
        <v>437</v>
      </c>
      <c r="D575" t="s">
        <v>29</v>
      </c>
      <c r="E575" t="s">
        <v>16</v>
      </c>
      <c r="F575" t="s">
        <v>17</v>
      </c>
      <c r="G575" t="s">
        <v>21</v>
      </c>
      <c r="H575">
        <v>89598.83</v>
      </c>
      <c r="I575">
        <v>0</v>
      </c>
      <c r="J575" t="str">
        <f t="shared" si="40"/>
        <v>High</v>
      </c>
      <c r="K575" t="str">
        <f t="shared" si="41"/>
        <v>Normal</v>
      </c>
      <c r="L575">
        <f t="shared" si="42"/>
        <v>1</v>
      </c>
      <c r="M575">
        <f t="shared" si="43"/>
        <v>1</v>
      </c>
      <c r="N575" s="6">
        <f t="shared" si="44"/>
        <v>45675</v>
      </c>
    </row>
    <row r="576" spans="1:14" x14ac:dyDescent="0.3">
      <c r="A576">
        <v>415</v>
      </c>
      <c r="B576">
        <v>10049</v>
      </c>
      <c r="C576" t="s">
        <v>438</v>
      </c>
      <c r="D576" t="s">
        <v>23</v>
      </c>
      <c r="E576" t="s">
        <v>16</v>
      </c>
      <c r="F576" t="s">
        <v>12</v>
      </c>
      <c r="G576" t="s">
        <v>21</v>
      </c>
      <c r="H576">
        <v>79413.55</v>
      </c>
      <c r="I576">
        <v>0</v>
      </c>
      <c r="J576" t="str">
        <f t="shared" si="40"/>
        <v>High</v>
      </c>
      <c r="K576" t="str">
        <f t="shared" si="41"/>
        <v>Normal</v>
      </c>
      <c r="L576">
        <f t="shared" si="42"/>
        <v>1</v>
      </c>
      <c r="M576">
        <f t="shared" si="43"/>
        <v>1</v>
      </c>
      <c r="N576" s="6">
        <f t="shared" si="44"/>
        <v>45675</v>
      </c>
    </row>
    <row r="577" spans="1:14" x14ac:dyDescent="0.3">
      <c r="A577">
        <v>416</v>
      </c>
      <c r="B577">
        <v>10024</v>
      </c>
      <c r="C577" t="s">
        <v>439</v>
      </c>
      <c r="D577" t="s">
        <v>10</v>
      </c>
      <c r="E577" t="s">
        <v>11</v>
      </c>
      <c r="F577" t="s">
        <v>12</v>
      </c>
      <c r="G577" t="s">
        <v>31</v>
      </c>
      <c r="H577">
        <v>15914.56</v>
      </c>
      <c r="I577">
        <v>0</v>
      </c>
      <c r="J577" t="str">
        <f t="shared" si="40"/>
        <v>High</v>
      </c>
      <c r="K577" t="str">
        <f t="shared" si="41"/>
        <v>Normal</v>
      </c>
      <c r="L577">
        <f t="shared" si="42"/>
        <v>1</v>
      </c>
      <c r="M577">
        <f t="shared" si="43"/>
        <v>1</v>
      </c>
      <c r="N577" s="6">
        <f t="shared" si="44"/>
        <v>45675</v>
      </c>
    </row>
    <row r="578" spans="1:14" x14ac:dyDescent="0.3">
      <c r="A578">
        <v>417</v>
      </c>
      <c r="B578">
        <v>10023</v>
      </c>
      <c r="C578" t="s">
        <v>440</v>
      </c>
      <c r="D578" t="s">
        <v>15</v>
      </c>
      <c r="E578" t="s">
        <v>16</v>
      </c>
      <c r="F578" t="s">
        <v>12</v>
      </c>
      <c r="G578" t="s">
        <v>31</v>
      </c>
      <c r="H578">
        <v>5273.41</v>
      </c>
      <c r="I578">
        <v>0</v>
      </c>
      <c r="J578" t="str">
        <f t="shared" ref="J578:J641" si="45">IF(E578&gt;50000,"High","Normal")</f>
        <v>High</v>
      </c>
      <c r="K578" t="str">
        <f t="shared" ref="K578:K641" si="46">IF(AND(H578&gt;50000,E578="Online"),"High Risk","Normal")</f>
        <v>Normal</v>
      </c>
      <c r="L578">
        <f t="shared" ref="L578:L641" si="47">COUNTIFS(C:C,C578,B:B,B578)</f>
        <v>1</v>
      </c>
      <c r="M578">
        <f t="shared" ref="M578:M641" si="48">IF(E578&gt;50000,1,0) + IF(H578="Unusual",1,0) + IF(I578&gt;3,1,0)</f>
        <v>1</v>
      </c>
      <c r="N578" s="6">
        <f t="shared" ref="N578:N641" si="49">INT(C578)</f>
        <v>45675</v>
      </c>
    </row>
    <row r="579" spans="1:14" x14ac:dyDescent="0.3">
      <c r="A579">
        <v>418</v>
      </c>
      <c r="B579">
        <v>10012</v>
      </c>
      <c r="C579" t="s">
        <v>441</v>
      </c>
      <c r="D579" t="s">
        <v>23</v>
      </c>
      <c r="E579" t="s">
        <v>11</v>
      </c>
      <c r="F579" t="s">
        <v>12</v>
      </c>
      <c r="G579" t="s">
        <v>21</v>
      </c>
      <c r="H579">
        <v>55775.33</v>
      </c>
      <c r="I579">
        <v>1</v>
      </c>
      <c r="J579" t="str">
        <f t="shared" si="45"/>
        <v>High</v>
      </c>
      <c r="K579" t="str">
        <f t="shared" si="46"/>
        <v>High Risk</v>
      </c>
      <c r="L579">
        <f t="shared" si="47"/>
        <v>1</v>
      </c>
      <c r="M579">
        <f t="shared" si="48"/>
        <v>1</v>
      </c>
      <c r="N579" s="6">
        <f t="shared" si="49"/>
        <v>45675</v>
      </c>
    </row>
    <row r="580" spans="1:14" x14ac:dyDescent="0.3">
      <c r="A580">
        <v>419</v>
      </c>
      <c r="B580">
        <v>10059</v>
      </c>
      <c r="C580" t="s">
        <v>442</v>
      </c>
      <c r="D580" t="s">
        <v>23</v>
      </c>
      <c r="E580" t="s">
        <v>11</v>
      </c>
      <c r="F580" t="s">
        <v>12</v>
      </c>
      <c r="G580" t="s">
        <v>13</v>
      </c>
      <c r="H580">
        <v>15687.98</v>
      </c>
      <c r="I580">
        <v>0</v>
      </c>
      <c r="J580" t="str">
        <f t="shared" si="45"/>
        <v>High</v>
      </c>
      <c r="K580" t="str">
        <f t="shared" si="46"/>
        <v>Normal</v>
      </c>
      <c r="L580">
        <f t="shared" si="47"/>
        <v>1</v>
      </c>
      <c r="M580">
        <f t="shared" si="48"/>
        <v>1</v>
      </c>
      <c r="N580" s="6">
        <f t="shared" si="49"/>
        <v>45675</v>
      </c>
    </row>
    <row r="581" spans="1:14" x14ac:dyDescent="0.3">
      <c r="A581">
        <v>420</v>
      </c>
      <c r="B581">
        <v>10006</v>
      </c>
      <c r="C581" t="s">
        <v>443</v>
      </c>
      <c r="D581" t="s">
        <v>10</v>
      </c>
      <c r="E581" t="s">
        <v>24</v>
      </c>
      <c r="F581" t="s">
        <v>12</v>
      </c>
      <c r="G581" t="s">
        <v>18</v>
      </c>
      <c r="H581">
        <v>83475.64</v>
      </c>
      <c r="I581">
        <v>0</v>
      </c>
      <c r="J581" t="str">
        <f t="shared" si="45"/>
        <v>High</v>
      </c>
      <c r="K581" t="str">
        <f t="shared" si="46"/>
        <v>Normal</v>
      </c>
      <c r="L581">
        <f t="shared" si="47"/>
        <v>1</v>
      </c>
      <c r="M581">
        <f t="shared" si="48"/>
        <v>1</v>
      </c>
      <c r="N581" s="6">
        <f t="shared" si="49"/>
        <v>45675</v>
      </c>
    </row>
    <row r="582" spans="1:14" x14ac:dyDescent="0.3">
      <c r="A582">
        <v>421</v>
      </c>
      <c r="B582">
        <v>10056</v>
      </c>
      <c r="C582" t="s">
        <v>444</v>
      </c>
      <c r="D582" t="s">
        <v>29</v>
      </c>
      <c r="E582" t="s">
        <v>24</v>
      </c>
      <c r="F582" t="s">
        <v>17</v>
      </c>
      <c r="G582" t="s">
        <v>18</v>
      </c>
      <c r="H582">
        <v>35897.629999999997</v>
      </c>
      <c r="I582">
        <v>0</v>
      </c>
      <c r="J582" t="str">
        <f t="shared" si="45"/>
        <v>High</v>
      </c>
      <c r="K582" t="str">
        <f t="shared" si="46"/>
        <v>Normal</v>
      </c>
      <c r="L582">
        <f t="shared" si="47"/>
        <v>1</v>
      </c>
      <c r="M582">
        <f t="shared" si="48"/>
        <v>1</v>
      </c>
      <c r="N582" s="6">
        <f t="shared" si="49"/>
        <v>45675</v>
      </c>
    </row>
    <row r="583" spans="1:14" x14ac:dyDescent="0.3">
      <c r="A583">
        <v>422</v>
      </c>
      <c r="B583">
        <v>10035</v>
      </c>
      <c r="C583" t="s">
        <v>445</v>
      </c>
      <c r="D583" t="s">
        <v>20</v>
      </c>
      <c r="E583" t="s">
        <v>16</v>
      </c>
      <c r="F583" t="s">
        <v>17</v>
      </c>
      <c r="G583" t="s">
        <v>21</v>
      </c>
      <c r="H583">
        <v>91297.96</v>
      </c>
      <c r="I583">
        <v>0</v>
      </c>
      <c r="J583" t="str">
        <f t="shared" si="45"/>
        <v>High</v>
      </c>
      <c r="K583" t="str">
        <f t="shared" si="46"/>
        <v>Normal</v>
      </c>
      <c r="L583">
        <f t="shared" si="47"/>
        <v>1</v>
      </c>
      <c r="M583">
        <f t="shared" si="48"/>
        <v>1</v>
      </c>
      <c r="N583" s="6">
        <f t="shared" si="49"/>
        <v>45675</v>
      </c>
    </row>
    <row r="584" spans="1:14" x14ac:dyDescent="0.3">
      <c r="A584">
        <v>423</v>
      </c>
      <c r="B584">
        <v>10044</v>
      </c>
      <c r="C584" t="s">
        <v>446</v>
      </c>
      <c r="D584" t="s">
        <v>20</v>
      </c>
      <c r="E584" t="s">
        <v>16</v>
      </c>
      <c r="F584" t="s">
        <v>12</v>
      </c>
      <c r="G584" t="s">
        <v>21</v>
      </c>
      <c r="H584">
        <v>56612.25</v>
      </c>
      <c r="I584">
        <v>0</v>
      </c>
      <c r="J584" t="str">
        <f t="shared" si="45"/>
        <v>High</v>
      </c>
      <c r="K584" t="str">
        <f t="shared" si="46"/>
        <v>Normal</v>
      </c>
      <c r="L584">
        <f t="shared" si="47"/>
        <v>1</v>
      </c>
      <c r="M584">
        <f t="shared" si="48"/>
        <v>1</v>
      </c>
      <c r="N584" s="6">
        <f t="shared" si="49"/>
        <v>45675</v>
      </c>
    </row>
    <row r="585" spans="1:14" x14ac:dyDescent="0.3">
      <c r="A585">
        <v>424</v>
      </c>
      <c r="B585">
        <v>10019</v>
      </c>
      <c r="C585" t="s">
        <v>447</v>
      </c>
      <c r="D585" t="s">
        <v>23</v>
      </c>
      <c r="E585" t="s">
        <v>11</v>
      </c>
      <c r="F585" t="s">
        <v>12</v>
      </c>
      <c r="G585" t="s">
        <v>21</v>
      </c>
      <c r="H585">
        <v>18348.97</v>
      </c>
      <c r="I585">
        <v>0</v>
      </c>
      <c r="J585" t="str">
        <f t="shared" si="45"/>
        <v>High</v>
      </c>
      <c r="K585" t="str">
        <f t="shared" si="46"/>
        <v>Normal</v>
      </c>
      <c r="L585">
        <f t="shared" si="47"/>
        <v>1</v>
      </c>
      <c r="M585">
        <f t="shared" si="48"/>
        <v>1</v>
      </c>
      <c r="N585" s="6">
        <f t="shared" si="49"/>
        <v>45675</v>
      </c>
    </row>
    <row r="586" spans="1:14" x14ac:dyDescent="0.3">
      <c r="A586">
        <v>425</v>
      </c>
      <c r="B586">
        <v>10064</v>
      </c>
      <c r="C586" t="s">
        <v>448</v>
      </c>
      <c r="D586" t="s">
        <v>10</v>
      </c>
      <c r="E586" t="s">
        <v>16</v>
      </c>
      <c r="F586" t="s">
        <v>17</v>
      </c>
      <c r="G586" t="s">
        <v>13</v>
      </c>
      <c r="H586">
        <v>14045.93</v>
      </c>
      <c r="I586">
        <v>0</v>
      </c>
      <c r="J586" t="str">
        <f t="shared" si="45"/>
        <v>High</v>
      </c>
      <c r="K586" t="str">
        <f t="shared" si="46"/>
        <v>Normal</v>
      </c>
      <c r="L586">
        <f t="shared" si="47"/>
        <v>1</v>
      </c>
      <c r="M586">
        <f t="shared" si="48"/>
        <v>1</v>
      </c>
      <c r="N586" s="6">
        <f t="shared" si="49"/>
        <v>45675</v>
      </c>
    </row>
    <row r="587" spans="1:14" x14ac:dyDescent="0.3">
      <c r="A587">
        <v>426</v>
      </c>
      <c r="B587">
        <v>10007</v>
      </c>
      <c r="C587" t="s">
        <v>449</v>
      </c>
      <c r="D587" t="s">
        <v>20</v>
      </c>
      <c r="E587" t="s">
        <v>11</v>
      </c>
      <c r="F587" t="s">
        <v>17</v>
      </c>
      <c r="G587" t="s">
        <v>31</v>
      </c>
      <c r="H587">
        <v>57689.599999999999</v>
      </c>
      <c r="I587">
        <v>1</v>
      </c>
      <c r="J587" t="str">
        <f t="shared" si="45"/>
        <v>High</v>
      </c>
      <c r="K587" t="str">
        <f t="shared" si="46"/>
        <v>High Risk</v>
      </c>
      <c r="L587">
        <f t="shared" si="47"/>
        <v>1</v>
      </c>
      <c r="M587">
        <f t="shared" si="48"/>
        <v>1</v>
      </c>
      <c r="N587" s="6">
        <f t="shared" si="49"/>
        <v>45675</v>
      </c>
    </row>
    <row r="588" spans="1:14" x14ac:dyDescent="0.3">
      <c r="A588">
        <v>427</v>
      </c>
      <c r="B588">
        <v>10015</v>
      </c>
      <c r="C588" t="s">
        <v>450</v>
      </c>
      <c r="D588" t="s">
        <v>23</v>
      </c>
      <c r="E588" t="s">
        <v>11</v>
      </c>
      <c r="F588" t="s">
        <v>17</v>
      </c>
      <c r="G588" t="s">
        <v>21</v>
      </c>
      <c r="H588">
        <v>76212.17</v>
      </c>
      <c r="I588">
        <v>1</v>
      </c>
      <c r="J588" t="str">
        <f t="shared" si="45"/>
        <v>High</v>
      </c>
      <c r="K588" t="str">
        <f t="shared" si="46"/>
        <v>High Risk</v>
      </c>
      <c r="L588">
        <f t="shared" si="47"/>
        <v>1</v>
      </c>
      <c r="M588">
        <f t="shared" si="48"/>
        <v>1</v>
      </c>
      <c r="N588" s="6">
        <f t="shared" si="49"/>
        <v>45675</v>
      </c>
    </row>
    <row r="589" spans="1:14" x14ac:dyDescent="0.3">
      <c r="A589">
        <v>428</v>
      </c>
      <c r="B589">
        <v>10013</v>
      </c>
      <c r="C589" t="s">
        <v>451</v>
      </c>
      <c r="D589" t="s">
        <v>29</v>
      </c>
      <c r="E589" t="s">
        <v>16</v>
      </c>
      <c r="F589" t="s">
        <v>12</v>
      </c>
      <c r="G589" t="s">
        <v>21</v>
      </c>
      <c r="H589">
        <v>78172.41</v>
      </c>
      <c r="I589">
        <v>0</v>
      </c>
      <c r="J589" t="str">
        <f t="shared" si="45"/>
        <v>High</v>
      </c>
      <c r="K589" t="str">
        <f t="shared" si="46"/>
        <v>Normal</v>
      </c>
      <c r="L589">
        <f t="shared" si="47"/>
        <v>1</v>
      </c>
      <c r="M589">
        <f t="shared" si="48"/>
        <v>1</v>
      </c>
      <c r="N589" s="6">
        <f t="shared" si="49"/>
        <v>45675</v>
      </c>
    </row>
    <row r="590" spans="1:14" x14ac:dyDescent="0.3">
      <c r="A590">
        <v>429</v>
      </c>
      <c r="B590">
        <v>10075</v>
      </c>
      <c r="C590" t="s">
        <v>452</v>
      </c>
      <c r="D590" t="s">
        <v>20</v>
      </c>
      <c r="E590" t="s">
        <v>11</v>
      </c>
      <c r="F590" t="s">
        <v>12</v>
      </c>
      <c r="G590" t="s">
        <v>25</v>
      </c>
      <c r="H590">
        <v>27648.16</v>
      </c>
      <c r="I590">
        <v>0</v>
      </c>
      <c r="J590" t="str">
        <f t="shared" si="45"/>
        <v>High</v>
      </c>
      <c r="K590" t="str">
        <f t="shared" si="46"/>
        <v>Normal</v>
      </c>
      <c r="L590">
        <f t="shared" si="47"/>
        <v>1</v>
      </c>
      <c r="M590">
        <f t="shared" si="48"/>
        <v>1</v>
      </c>
      <c r="N590" s="6">
        <f t="shared" si="49"/>
        <v>45675</v>
      </c>
    </row>
    <row r="591" spans="1:14" x14ac:dyDescent="0.3">
      <c r="A591">
        <v>430</v>
      </c>
      <c r="B591">
        <v>10086</v>
      </c>
      <c r="C591" t="s">
        <v>453</v>
      </c>
      <c r="D591" t="s">
        <v>23</v>
      </c>
      <c r="E591" t="s">
        <v>24</v>
      </c>
      <c r="F591" t="s">
        <v>12</v>
      </c>
      <c r="G591" t="s">
        <v>13</v>
      </c>
      <c r="H591">
        <v>20504.25</v>
      </c>
      <c r="I591">
        <v>0</v>
      </c>
      <c r="J591" t="str">
        <f t="shared" si="45"/>
        <v>High</v>
      </c>
      <c r="K591" t="str">
        <f t="shared" si="46"/>
        <v>Normal</v>
      </c>
      <c r="L591">
        <f t="shared" si="47"/>
        <v>1</v>
      </c>
      <c r="M591">
        <f t="shared" si="48"/>
        <v>1</v>
      </c>
      <c r="N591" s="6">
        <f t="shared" si="49"/>
        <v>45675</v>
      </c>
    </row>
    <row r="592" spans="1:14" x14ac:dyDescent="0.3">
      <c r="A592">
        <v>431</v>
      </c>
      <c r="B592">
        <v>10014</v>
      </c>
      <c r="C592" t="s">
        <v>454</v>
      </c>
      <c r="D592" t="s">
        <v>23</v>
      </c>
      <c r="E592" t="s">
        <v>16</v>
      </c>
      <c r="F592" t="s">
        <v>17</v>
      </c>
      <c r="G592" t="s">
        <v>21</v>
      </c>
      <c r="H592">
        <v>1773.95</v>
      </c>
      <c r="I592">
        <v>0</v>
      </c>
      <c r="J592" t="str">
        <f t="shared" si="45"/>
        <v>High</v>
      </c>
      <c r="K592" t="str">
        <f t="shared" si="46"/>
        <v>Normal</v>
      </c>
      <c r="L592">
        <f t="shared" si="47"/>
        <v>1</v>
      </c>
      <c r="M592">
        <f t="shared" si="48"/>
        <v>1</v>
      </c>
      <c r="N592" s="6">
        <f t="shared" si="49"/>
        <v>45675</v>
      </c>
    </row>
    <row r="593" spans="1:14" x14ac:dyDescent="0.3">
      <c r="A593">
        <v>432</v>
      </c>
      <c r="B593">
        <v>10091</v>
      </c>
      <c r="C593" t="s">
        <v>455</v>
      </c>
      <c r="D593" t="s">
        <v>15</v>
      </c>
      <c r="E593" t="s">
        <v>24</v>
      </c>
      <c r="F593" t="s">
        <v>17</v>
      </c>
      <c r="G593" t="s">
        <v>25</v>
      </c>
      <c r="H593">
        <v>67952</v>
      </c>
      <c r="I593">
        <v>0</v>
      </c>
      <c r="J593" t="str">
        <f t="shared" si="45"/>
        <v>High</v>
      </c>
      <c r="K593" t="str">
        <f t="shared" si="46"/>
        <v>Normal</v>
      </c>
      <c r="L593">
        <f t="shared" si="47"/>
        <v>1</v>
      </c>
      <c r="M593">
        <f t="shared" si="48"/>
        <v>1</v>
      </c>
      <c r="N593" s="6">
        <f t="shared" si="49"/>
        <v>45675</v>
      </c>
    </row>
    <row r="594" spans="1:14" x14ac:dyDescent="0.3">
      <c r="A594">
        <v>385</v>
      </c>
      <c r="B594">
        <v>10031</v>
      </c>
      <c r="C594" t="s">
        <v>408</v>
      </c>
      <c r="D594" t="s">
        <v>23</v>
      </c>
      <c r="E594" t="s">
        <v>11</v>
      </c>
      <c r="F594" t="s">
        <v>12</v>
      </c>
      <c r="G594" t="s">
        <v>31</v>
      </c>
      <c r="H594">
        <v>22704.9</v>
      </c>
      <c r="I594">
        <v>0</v>
      </c>
      <c r="J594" t="str">
        <f t="shared" si="45"/>
        <v>High</v>
      </c>
      <c r="K594" t="str">
        <f t="shared" si="46"/>
        <v>Normal</v>
      </c>
      <c r="L594">
        <f t="shared" si="47"/>
        <v>1</v>
      </c>
      <c r="M594">
        <f t="shared" si="48"/>
        <v>1</v>
      </c>
      <c r="N594" s="6">
        <f t="shared" si="49"/>
        <v>45674</v>
      </c>
    </row>
    <row r="595" spans="1:14" x14ac:dyDescent="0.3">
      <c r="A595">
        <v>386</v>
      </c>
      <c r="B595">
        <v>10086</v>
      </c>
      <c r="C595" t="s">
        <v>409</v>
      </c>
      <c r="D595" t="s">
        <v>20</v>
      </c>
      <c r="E595" t="s">
        <v>11</v>
      </c>
      <c r="F595" t="s">
        <v>12</v>
      </c>
      <c r="G595" t="s">
        <v>31</v>
      </c>
      <c r="H595">
        <v>89580.23</v>
      </c>
      <c r="I595">
        <v>1</v>
      </c>
      <c r="J595" t="str">
        <f t="shared" si="45"/>
        <v>High</v>
      </c>
      <c r="K595" t="str">
        <f t="shared" si="46"/>
        <v>High Risk</v>
      </c>
      <c r="L595">
        <f t="shared" si="47"/>
        <v>1</v>
      </c>
      <c r="M595">
        <f t="shared" si="48"/>
        <v>1</v>
      </c>
      <c r="N595" s="6">
        <f t="shared" si="49"/>
        <v>45674</v>
      </c>
    </row>
    <row r="596" spans="1:14" x14ac:dyDescent="0.3">
      <c r="A596">
        <v>387</v>
      </c>
      <c r="B596">
        <v>10032</v>
      </c>
      <c r="C596" t="s">
        <v>410</v>
      </c>
      <c r="D596" t="s">
        <v>15</v>
      </c>
      <c r="E596" t="s">
        <v>16</v>
      </c>
      <c r="F596" t="s">
        <v>17</v>
      </c>
      <c r="G596" t="s">
        <v>31</v>
      </c>
      <c r="H596">
        <v>78371.66</v>
      </c>
      <c r="I596">
        <v>0</v>
      </c>
      <c r="J596" t="str">
        <f t="shared" si="45"/>
        <v>High</v>
      </c>
      <c r="K596" t="str">
        <f t="shared" si="46"/>
        <v>Normal</v>
      </c>
      <c r="L596">
        <f t="shared" si="47"/>
        <v>1</v>
      </c>
      <c r="M596">
        <f t="shared" si="48"/>
        <v>1</v>
      </c>
      <c r="N596" s="6">
        <f t="shared" si="49"/>
        <v>45674</v>
      </c>
    </row>
    <row r="597" spans="1:14" x14ac:dyDescent="0.3">
      <c r="A597">
        <v>388</v>
      </c>
      <c r="B597">
        <v>10066</v>
      </c>
      <c r="C597" t="s">
        <v>411</v>
      </c>
      <c r="D597" t="s">
        <v>23</v>
      </c>
      <c r="E597" t="s">
        <v>24</v>
      </c>
      <c r="F597" t="s">
        <v>12</v>
      </c>
      <c r="G597" t="s">
        <v>13</v>
      </c>
      <c r="H597">
        <v>70000.55</v>
      </c>
      <c r="I597">
        <v>0</v>
      </c>
      <c r="J597" t="str">
        <f t="shared" si="45"/>
        <v>High</v>
      </c>
      <c r="K597" t="str">
        <f t="shared" si="46"/>
        <v>Normal</v>
      </c>
      <c r="L597">
        <f t="shared" si="47"/>
        <v>1</v>
      </c>
      <c r="M597">
        <f t="shared" si="48"/>
        <v>1</v>
      </c>
      <c r="N597" s="6">
        <f t="shared" si="49"/>
        <v>45674</v>
      </c>
    </row>
    <row r="598" spans="1:14" x14ac:dyDescent="0.3">
      <c r="A598">
        <v>389</v>
      </c>
      <c r="B598">
        <v>10017</v>
      </c>
      <c r="C598" t="s">
        <v>412</v>
      </c>
      <c r="D598" t="s">
        <v>23</v>
      </c>
      <c r="E598" t="s">
        <v>24</v>
      </c>
      <c r="F598" t="s">
        <v>12</v>
      </c>
      <c r="G598" t="s">
        <v>31</v>
      </c>
      <c r="H598">
        <v>61732.71</v>
      </c>
      <c r="I598">
        <v>0</v>
      </c>
      <c r="J598" t="str">
        <f t="shared" si="45"/>
        <v>High</v>
      </c>
      <c r="K598" t="str">
        <f t="shared" si="46"/>
        <v>Normal</v>
      </c>
      <c r="L598">
        <f t="shared" si="47"/>
        <v>1</v>
      </c>
      <c r="M598">
        <f t="shared" si="48"/>
        <v>1</v>
      </c>
      <c r="N598" s="6">
        <f t="shared" si="49"/>
        <v>45674</v>
      </c>
    </row>
    <row r="599" spans="1:14" x14ac:dyDescent="0.3">
      <c r="A599">
        <v>390</v>
      </c>
      <c r="B599">
        <v>10024</v>
      </c>
      <c r="C599" t="s">
        <v>413</v>
      </c>
      <c r="D599" t="s">
        <v>10</v>
      </c>
      <c r="E599" t="s">
        <v>11</v>
      </c>
      <c r="F599" t="s">
        <v>12</v>
      </c>
      <c r="G599" t="s">
        <v>21</v>
      </c>
      <c r="H599">
        <v>86360.23</v>
      </c>
      <c r="I599">
        <v>1</v>
      </c>
      <c r="J599" t="str">
        <f t="shared" si="45"/>
        <v>High</v>
      </c>
      <c r="K599" t="str">
        <f t="shared" si="46"/>
        <v>High Risk</v>
      </c>
      <c r="L599">
        <f t="shared" si="47"/>
        <v>1</v>
      </c>
      <c r="M599">
        <f t="shared" si="48"/>
        <v>1</v>
      </c>
      <c r="N599" s="6">
        <f t="shared" si="49"/>
        <v>45674</v>
      </c>
    </row>
    <row r="600" spans="1:14" x14ac:dyDescent="0.3">
      <c r="A600">
        <v>391</v>
      </c>
      <c r="B600">
        <v>10094</v>
      </c>
      <c r="C600" t="s">
        <v>414</v>
      </c>
      <c r="D600" t="s">
        <v>29</v>
      </c>
      <c r="E600" t="s">
        <v>16</v>
      </c>
      <c r="F600" t="s">
        <v>17</v>
      </c>
      <c r="G600" t="s">
        <v>18</v>
      </c>
      <c r="H600">
        <v>22383.9</v>
      </c>
      <c r="I600">
        <v>0</v>
      </c>
      <c r="J600" t="str">
        <f t="shared" si="45"/>
        <v>High</v>
      </c>
      <c r="K600" t="str">
        <f t="shared" si="46"/>
        <v>Normal</v>
      </c>
      <c r="L600">
        <f t="shared" si="47"/>
        <v>1</v>
      </c>
      <c r="M600">
        <f t="shared" si="48"/>
        <v>1</v>
      </c>
      <c r="N600" s="6">
        <f t="shared" si="49"/>
        <v>45674</v>
      </c>
    </row>
    <row r="601" spans="1:14" x14ac:dyDescent="0.3">
      <c r="A601">
        <v>392</v>
      </c>
      <c r="B601">
        <v>10053</v>
      </c>
      <c r="C601" t="s">
        <v>415</v>
      </c>
      <c r="D601" t="s">
        <v>15</v>
      </c>
      <c r="E601" t="s">
        <v>24</v>
      </c>
      <c r="F601" t="s">
        <v>17</v>
      </c>
      <c r="G601" t="s">
        <v>18</v>
      </c>
      <c r="H601">
        <v>87323.57</v>
      </c>
      <c r="I601">
        <v>0</v>
      </c>
      <c r="J601" t="str">
        <f t="shared" si="45"/>
        <v>High</v>
      </c>
      <c r="K601" t="str">
        <f t="shared" si="46"/>
        <v>Normal</v>
      </c>
      <c r="L601">
        <f t="shared" si="47"/>
        <v>1</v>
      </c>
      <c r="M601">
        <f t="shared" si="48"/>
        <v>1</v>
      </c>
      <c r="N601" s="6">
        <f t="shared" si="49"/>
        <v>45674</v>
      </c>
    </row>
    <row r="602" spans="1:14" x14ac:dyDescent="0.3">
      <c r="A602">
        <v>393</v>
      </c>
      <c r="B602">
        <v>10057</v>
      </c>
      <c r="C602" t="s">
        <v>416</v>
      </c>
      <c r="D602" t="s">
        <v>10</v>
      </c>
      <c r="E602" t="s">
        <v>11</v>
      </c>
      <c r="F602" t="s">
        <v>17</v>
      </c>
      <c r="G602" t="s">
        <v>25</v>
      </c>
      <c r="H602">
        <v>78970.28</v>
      </c>
      <c r="I602">
        <v>1</v>
      </c>
      <c r="J602" t="str">
        <f t="shared" si="45"/>
        <v>High</v>
      </c>
      <c r="K602" t="str">
        <f t="shared" si="46"/>
        <v>High Risk</v>
      </c>
      <c r="L602">
        <f t="shared" si="47"/>
        <v>1</v>
      </c>
      <c r="M602">
        <f t="shared" si="48"/>
        <v>1</v>
      </c>
      <c r="N602" s="6">
        <f t="shared" si="49"/>
        <v>45674</v>
      </c>
    </row>
    <row r="603" spans="1:14" x14ac:dyDescent="0.3">
      <c r="A603">
        <v>394</v>
      </c>
      <c r="B603">
        <v>10066</v>
      </c>
      <c r="C603" t="s">
        <v>417</v>
      </c>
      <c r="D603" t="s">
        <v>20</v>
      </c>
      <c r="E603" t="s">
        <v>16</v>
      </c>
      <c r="F603" t="s">
        <v>12</v>
      </c>
      <c r="G603" t="s">
        <v>25</v>
      </c>
      <c r="H603">
        <v>74841.27</v>
      </c>
      <c r="I603">
        <v>0</v>
      </c>
      <c r="J603" t="str">
        <f t="shared" si="45"/>
        <v>High</v>
      </c>
      <c r="K603" t="str">
        <f t="shared" si="46"/>
        <v>Normal</v>
      </c>
      <c r="L603">
        <f t="shared" si="47"/>
        <v>1</v>
      </c>
      <c r="M603">
        <f t="shared" si="48"/>
        <v>1</v>
      </c>
      <c r="N603" s="6">
        <f t="shared" si="49"/>
        <v>45674</v>
      </c>
    </row>
    <row r="604" spans="1:14" x14ac:dyDescent="0.3">
      <c r="A604">
        <v>395</v>
      </c>
      <c r="B604">
        <v>10045</v>
      </c>
      <c r="C604" t="s">
        <v>418</v>
      </c>
      <c r="D604" t="s">
        <v>20</v>
      </c>
      <c r="E604" t="s">
        <v>24</v>
      </c>
      <c r="F604" t="s">
        <v>17</v>
      </c>
      <c r="G604" t="s">
        <v>18</v>
      </c>
      <c r="H604">
        <v>56169.440000000002</v>
      </c>
      <c r="I604">
        <v>0</v>
      </c>
      <c r="J604" t="str">
        <f t="shared" si="45"/>
        <v>High</v>
      </c>
      <c r="K604" t="str">
        <f t="shared" si="46"/>
        <v>Normal</v>
      </c>
      <c r="L604">
        <f t="shared" si="47"/>
        <v>1</v>
      </c>
      <c r="M604">
        <f t="shared" si="48"/>
        <v>1</v>
      </c>
      <c r="N604" s="6">
        <f t="shared" si="49"/>
        <v>45674</v>
      </c>
    </row>
    <row r="605" spans="1:14" x14ac:dyDescent="0.3">
      <c r="A605">
        <v>396</v>
      </c>
      <c r="B605">
        <v>10023</v>
      </c>
      <c r="C605" t="s">
        <v>419</v>
      </c>
      <c r="D605" t="s">
        <v>23</v>
      </c>
      <c r="E605" t="s">
        <v>24</v>
      </c>
      <c r="F605" t="s">
        <v>12</v>
      </c>
      <c r="G605" t="s">
        <v>21</v>
      </c>
      <c r="H605">
        <v>24699.79</v>
      </c>
      <c r="I605">
        <v>0</v>
      </c>
      <c r="J605" t="str">
        <f t="shared" si="45"/>
        <v>High</v>
      </c>
      <c r="K605" t="str">
        <f t="shared" si="46"/>
        <v>Normal</v>
      </c>
      <c r="L605">
        <f t="shared" si="47"/>
        <v>1</v>
      </c>
      <c r="M605">
        <f t="shared" si="48"/>
        <v>1</v>
      </c>
      <c r="N605" s="6">
        <f t="shared" si="49"/>
        <v>45674</v>
      </c>
    </row>
    <row r="606" spans="1:14" x14ac:dyDescent="0.3">
      <c r="A606">
        <v>397</v>
      </c>
      <c r="B606">
        <v>10031</v>
      </c>
      <c r="C606" t="s">
        <v>420</v>
      </c>
      <c r="D606" t="s">
        <v>23</v>
      </c>
      <c r="E606" t="s">
        <v>16</v>
      </c>
      <c r="F606" t="s">
        <v>17</v>
      </c>
      <c r="G606" t="s">
        <v>13</v>
      </c>
      <c r="H606">
        <v>42412.44</v>
      </c>
      <c r="I606">
        <v>0</v>
      </c>
      <c r="J606" t="str">
        <f t="shared" si="45"/>
        <v>High</v>
      </c>
      <c r="K606" t="str">
        <f t="shared" si="46"/>
        <v>Normal</v>
      </c>
      <c r="L606">
        <f t="shared" si="47"/>
        <v>1</v>
      </c>
      <c r="M606">
        <f t="shared" si="48"/>
        <v>1</v>
      </c>
      <c r="N606" s="6">
        <f t="shared" si="49"/>
        <v>45674</v>
      </c>
    </row>
    <row r="607" spans="1:14" x14ac:dyDescent="0.3">
      <c r="A607">
        <v>398</v>
      </c>
      <c r="B607">
        <v>10046</v>
      </c>
      <c r="C607" t="s">
        <v>421</v>
      </c>
      <c r="D607" t="s">
        <v>20</v>
      </c>
      <c r="E607" t="s">
        <v>16</v>
      </c>
      <c r="F607" t="s">
        <v>17</v>
      </c>
      <c r="G607" t="s">
        <v>13</v>
      </c>
      <c r="H607">
        <v>79377.710000000006</v>
      </c>
      <c r="I607">
        <v>0</v>
      </c>
      <c r="J607" t="str">
        <f t="shared" si="45"/>
        <v>High</v>
      </c>
      <c r="K607" t="str">
        <f t="shared" si="46"/>
        <v>Normal</v>
      </c>
      <c r="L607">
        <f t="shared" si="47"/>
        <v>1</v>
      </c>
      <c r="M607">
        <f t="shared" si="48"/>
        <v>1</v>
      </c>
      <c r="N607" s="6">
        <f t="shared" si="49"/>
        <v>45674</v>
      </c>
    </row>
    <row r="608" spans="1:14" x14ac:dyDescent="0.3">
      <c r="A608">
        <v>399</v>
      </c>
      <c r="B608">
        <v>10085</v>
      </c>
      <c r="C608" t="s">
        <v>422</v>
      </c>
      <c r="D608" t="s">
        <v>23</v>
      </c>
      <c r="E608" t="s">
        <v>16</v>
      </c>
      <c r="F608" t="s">
        <v>12</v>
      </c>
      <c r="G608" t="s">
        <v>21</v>
      </c>
      <c r="H608">
        <v>3274.67</v>
      </c>
      <c r="I608">
        <v>0</v>
      </c>
      <c r="J608" t="str">
        <f t="shared" si="45"/>
        <v>High</v>
      </c>
      <c r="K608" t="str">
        <f t="shared" si="46"/>
        <v>Normal</v>
      </c>
      <c r="L608">
        <f t="shared" si="47"/>
        <v>1</v>
      </c>
      <c r="M608">
        <f t="shared" si="48"/>
        <v>1</v>
      </c>
      <c r="N608" s="6">
        <f t="shared" si="49"/>
        <v>45674</v>
      </c>
    </row>
    <row r="609" spans="1:14" x14ac:dyDescent="0.3">
      <c r="A609">
        <v>400</v>
      </c>
      <c r="B609">
        <v>10022</v>
      </c>
      <c r="C609" t="s">
        <v>423</v>
      </c>
      <c r="D609" t="s">
        <v>15</v>
      </c>
      <c r="E609" t="s">
        <v>16</v>
      </c>
      <c r="F609" t="s">
        <v>17</v>
      </c>
      <c r="G609" t="s">
        <v>13</v>
      </c>
      <c r="H609">
        <v>78226.87</v>
      </c>
      <c r="I609">
        <v>0</v>
      </c>
      <c r="J609" t="str">
        <f t="shared" si="45"/>
        <v>High</v>
      </c>
      <c r="K609" t="str">
        <f t="shared" si="46"/>
        <v>Normal</v>
      </c>
      <c r="L609">
        <f t="shared" si="47"/>
        <v>1</v>
      </c>
      <c r="M609">
        <f t="shared" si="48"/>
        <v>1</v>
      </c>
      <c r="N609" s="6">
        <f t="shared" si="49"/>
        <v>45674</v>
      </c>
    </row>
    <row r="610" spans="1:14" x14ac:dyDescent="0.3">
      <c r="A610">
        <v>401</v>
      </c>
      <c r="B610">
        <v>10065</v>
      </c>
      <c r="C610" t="s">
        <v>424</v>
      </c>
      <c r="D610" t="s">
        <v>23</v>
      </c>
      <c r="E610" t="s">
        <v>11</v>
      </c>
      <c r="F610" t="s">
        <v>12</v>
      </c>
      <c r="G610" t="s">
        <v>31</v>
      </c>
      <c r="H610">
        <v>24083.07</v>
      </c>
      <c r="I610">
        <v>0</v>
      </c>
      <c r="J610" t="str">
        <f t="shared" si="45"/>
        <v>High</v>
      </c>
      <c r="K610" t="str">
        <f t="shared" si="46"/>
        <v>Normal</v>
      </c>
      <c r="L610">
        <f t="shared" si="47"/>
        <v>1</v>
      </c>
      <c r="M610">
        <f t="shared" si="48"/>
        <v>1</v>
      </c>
      <c r="N610" s="6">
        <f t="shared" si="49"/>
        <v>45674</v>
      </c>
    </row>
    <row r="611" spans="1:14" x14ac:dyDescent="0.3">
      <c r="A611">
        <v>402</v>
      </c>
      <c r="B611">
        <v>10026</v>
      </c>
      <c r="C611" t="s">
        <v>425</v>
      </c>
      <c r="D611" t="s">
        <v>29</v>
      </c>
      <c r="E611" t="s">
        <v>16</v>
      </c>
      <c r="F611" t="s">
        <v>12</v>
      </c>
      <c r="G611" t="s">
        <v>18</v>
      </c>
      <c r="H611">
        <v>14516.49</v>
      </c>
      <c r="I611">
        <v>0</v>
      </c>
      <c r="J611" t="str">
        <f t="shared" si="45"/>
        <v>High</v>
      </c>
      <c r="K611" t="str">
        <f t="shared" si="46"/>
        <v>Normal</v>
      </c>
      <c r="L611">
        <f t="shared" si="47"/>
        <v>1</v>
      </c>
      <c r="M611">
        <f t="shared" si="48"/>
        <v>1</v>
      </c>
      <c r="N611" s="6">
        <f t="shared" si="49"/>
        <v>45674</v>
      </c>
    </row>
    <row r="612" spans="1:14" x14ac:dyDescent="0.3">
      <c r="A612">
        <v>403</v>
      </c>
      <c r="B612">
        <v>10001</v>
      </c>
      <c r="C612" t="s">
        <v>426</v>
      </c>
      <c r="D612" t="s">
        <v>23</v>
      </c>
      <c r="E612" t="s">
        <v>24</v>
      </c>
      <c r="F612" t="s">
        <v>17</v>
      </c>
      <c r="G612" t="s">
        <v>18</v>
      </c>
      <c r="H612">
        <v>11658.56</v>
      </c>
      <c r="I612">
        <v>0</v>
      </c>
      <c r="J612" t="str">
        <f t="shared" si="45"/>
        <v>High</v>
      </c>
      <c r="K612" t="str">
        <f t="shared" si="46"/>
        <v>Normal</v>
      </c>
      <c r="L612">
        <f t="shared" si="47"/>
        <v>1</v>
      </c>
      <c r="M612">
        <f t="shared" si="48"/>
        <v>1</v>
      </c>
      <c r="N612" s="6">
        <f t="shared" si="49"/>
        <v>45674</v>
      </c>
    </row>
    <row r="613" spans="1:14" x14ac:dyDescent="0.3">
      <c r="A613">
        <v>404</v>
      </c>
      <c r="B613">
        <v>10089</v>
      </c>
      <c r="C613" t="s">
        <v>427</v>
      </c>
      <c r="D613" t="s">
        <v>10</v>
      </c>
      <c r="E613" t="s">
        <v>24</v>
      </c>
      <c r="F613" t="s">
        <v>12</v>
      </c>
      <c r="G613" t="s">
        <v>21</v>
      </c>
      <c r="H613">
        <v>2822.28</v>
      </c>
      <c r="I613">
        <v>0</v>
      </c>
      <c r="J613" t="str">
        <f t="shared" si="45"/>
        <v>High</v>
      </c>
      <c r="K613" t="str">
        <f t="shared" si="46"/>
        <v>Normal</v>
      </c>
      <c r="L613">
        <f t="shared" si="47"/>
        <v>1</v>
      </c>
      <c r="M613">
        <f t="shared" si="48"/>
        <v>1</v>
      </c>
      <c r="N613" s="6">
        <f t="shared" si="49"/>
        <v>45674</v>
      </c>
    </row>
    <row r="614" spans="1:14" x14ac:dyDescent="0.3">
      <c r="A614">
        <v>405</v>
      </c>
      <c r="B614">
        <v>10016</v>
      </c>
      <c r="C614" t="s">
        <v>428</v>
      </c>
      <c r="D614" t="s">
        <v>15</v>
      </c>
      <c r="E614" t="s">
        <v>11</v>
      </c>
      <c r="F614" t="s">
        <v>17</v>
      </c>
      <c r="G614" t="s">
        <v>13</v>
      </c>
      <c r="H614">
        <v>52406.29</v>
      </c>
      <c r="I614">
        <v>1</v>
      </c>
      <c r="J614" t="str">
        <f t="shared" si="45"/>
        <v>High</v>
      </c>
      <c r="K614" t="str">
        <f t="shared" si="46"/>
        <v>High Risk</v>
      </c>
      <c r="L614">
        <f t="shared" si="47"/>
        <v>1</v>
      </c>
      <c r="M614">
        <f t="shared" si="48"/>
        <v>1</v>
      </c>
      <c r="N614" s="6">
        <f t="shared" si="49"/>
        <v>45674</v>
      </c>
    </row>
    <row r="615" spans="1:14" x14ac:dyDescent="0.3">
      <c r="A615">
        <v>406</v>
      </c>
      <c r="B615">
        <v>10032</v>
      </c>
      <c r="C615" t="s">
        <v>429</v>
      </c>
      <c r="D615" t="s">
        <v>10</v>
      </c>
      <c r="E615" t="s">
        <v>24</v>
      </c>
      <c r="F615" t="s">
        <v>17</v>
      </c>
      <c r="G615" t="s">
        <v>25</v>
      </c>
      <c r="H615">
        <v>21904.16</v>
      </c>
      <c r="I615">
        <v>0</v>
      </c>
      <c r="J615" t="str">
        <f t="shared" si="45"/>
        <v>High</v>
      </c>
      <c r="K615" t="str">
        <f t="shared" si="46"/>
        <v>Normal</v>
      </c>
      <c r="L615">
        <f t="shared" si="47"/>
        <v>1</v>
      </c>
      <c r="M615">
        <f t="shared" si="48"/>
        <v>1</v>
      </c>
      <c r="N615" s="6">
        <f t="shared" si="49"/>
        <v>45674</v>
      </c>
    </row>
    <row r="616" spans="1:14" x14ac:dyDescent="0.3">
      <c r="A616">
        <v>407</v>
      </c>
      <c r="B616">
        <v>10008</v>
      </c>
      <c r="C616" t="s">
        <v>430</v>
      </c>
      <c r="D616" t="s">
        <v>10</v>
      </c>
      <c r="E616" t="s">
        <v>24</v>
      </c>
      <c r="F616" t="s">
        <v>12</v>
      </c>
      <c r="G616" t="s">
        <v>25</v>
      </c>
      <c r="H616">
        <v>98944.23</v>
      </c>
      <c r="I616">
        <v>0</v>
      </c>
      <c r="J616" t="str">
        <f t="shared" si="45"/>
        <v>High</v>
      </c>
      <c r="K616" t="str">
        <f t="shared" si="46"/>
        <v>Normal</v>
      </c>
      <c r="L616">
        <f t="shared" si="47"/>
        <v>1</v>
      </c>
      <c r="M616">
        <f t="shared" si="48"/>
        <v>1</v>
      </c>
      <c r="N616" s="6">
        <f t="shared" si="49"/>
        <v>45674</v>
      </c>
    </row>
    <row r="617" spans="1:14" x14ac:dyDescent="0.3">
      <c r="A617">
        <v>408</v>
      </c>
      <c r="B617">
        <v>10042</v>
      </c>
      <c r="C617" t="s">
        <v>431</v>
      </c>
      <c r="D617" t="s">
        <v>29</v>
      </c>
      <c r="E617" t="s">
        <v>16</v>
      </c>
      <c r="F617" t="s">
        <v>17</v>
      </c>
      <c r="G617" t="s">
        <v>13</v>
      </c>
      <c r="H617">
        <v>57486.23</v>
      </c>
      <c r="I617">
        <v>0</v>
      </c>
      <c r="J617" t="str">
        <f t="shared" si="45"/>
        <v>High</v>
      </c>
      <c r="K617" t="str">
        <f t="shared" si="46"/>
        <v>Normal</v>
      </c>
      <c r="L617">
        <f t="shared" si="47"/>
        <v>1</v>
      </c>
      <c r="M617">
        <f t="shared" si="48"/>
        <v>1</v>
      </c>
      <c r="N617" s="6">
        <f t="shared" si="49"/>
        <v>45674</v>
      </c>
    </row>
    <row r="618" spans="1:14" x14ac:dyDescent="0.3">
      <c r="A618">
        <v>361</v>
      </c>
      <c r="B618">
        <v>10018</v>
      </c>
      <c r="C618" t="s">
        <v>384</v>
      </c>
      <c r="D618" t="s">
        <v>10</v>
      </c>
      <c r="E618" t="s">
        <v>24</v>
      </c>
      <c r="F618" t="s">
        <v>12</v>
      </c>
      <c r="G618" t="s">
        <v>25</v>
      </c>
      <c r="H618">
        <v>73414.92</v>
      </c>
      <c r="I618">
        <v>0</v>
      </c>
      <c r="J618" t="str">
        <f t="shared" si="45"/>
        <v>High</v>
      </c>
      <c r="K618" t="str">
        <f t="shared" si="46"/>
        <v>Normal</v>
      </c>
      <c r="L618">
        <f t="shared" si="47"/>
        <v>1</v>
      </c>
      <c r="M618">
        <f t="shared" si="48"/>
        <v>1</v>
      </c>
      <c r="N618" s="6">
        <f t="shared" si="49"/>
        <v>45673</v>
      </c>
    </row>
    <row r="619" spans="1:14" x14ac:dyDescent="0.3">
      <c r="A619">
        <v>362</v>
      </c>
      <c r="B619">
        <v>10003</v>
      </c>
      <c r="C619" t="s">
        <v>385</v>
      </c>
      <c r="D619" t="s">
        <v>20</v>
      </c>
      <c r="E619" t="s">
        <v>11</v>
      </c>
      <c r="F619" t="s">
        <v>17</v>
      </c>
      <c r="G619" t="s">
        <v>31</v>
      </c>
      <c r="H619">
        <v>63260.59</v>
      </c>
      <c r="I619">
        <v>1</v>
      </c>
      <c r="J619" t="str">
        <f t="shared" si="45"/>
        <v>High</v>
      </c>
      <c r="K619" t="str">
        <f t="shared" si="46"/>
        <v>High Risk</v>
      </c>
      <c r="L619">
        <f t="shared" si="47"/>
        <v>1</v>
      </c>
      <c r="M619">
        <f t="shared" si="48"/>
        <v>1</v>
      </c>
      <c r="N619" s="6">
        <f t="shared" si="49"/>
        <v>45673</v>
      </c>
    </row>
    <row r="620" spans="1:14" x14ac:dyDescent="0.3">
      <c r="A620">
        <v>363</v>
      </c>
      <c r="B620">
        <v>10034</v>
      </c>
      <c r="C620" t="s">
        <v>386</v>
      </c>
      <c r="D620" t="s">
        <v>29</v>
      </c>
      <c r="E620" t="s">
        <v>11</v>
      </c>
      <c r="F620" t="s">
        <v>17</v>
      </c>
      <c r="G620" t="s">
        <v>13</v>
      </c>
      <c r="H620">
        <v>58402.14</v>
      </c>
      <c r="I620">
        <v>1</v>
      </c>
      <c r="J620" t="str">
        <f t="shared" si="45"/>
        <v>High</v>
      </c>
      <c r="K620" t="str">
        <f t="shared" si="46"/>
        <v>High Risk</v>
      </c>
      <c r="L620">
        <f t="shared" si="47"/>
        <v>1</v>
      </c>
      <c r="M620">
        <f t="shared" si="48"/>
        <v>1</v>
      </c>
      <c r="N620" s="6">
        <f t="shared" si="49"/>
        <v>45673</v>
      </c>
    </row>
    <row r="621" spans="1:14" x14ac:dyDescent="0.3">
      <c r="A621">
        <v>364</v>
      </c>
      <c r="B621">
        <v>10063</v>
      </c>
      <c r="C621" t="s">
        <v>387</v>
      </c>
      <c r="D621" t="s">
        <v>15</v>
      </c>
      <c r="E621" t="s">
        <v>24</v>
      </c>
      <c r="F621" t="s">
        <v>17</v>
      </c>
      <c r="G621" t="s">
        <v>25</v>
      </c>
      <c r="H621">
        <v>39073.01</v>
      </c>
      <c r="I621">
        <v>0</v>
      </c>
      <c r="J621" t="str">
        <f t="shared" si="45"/>
        <v>High</v>
      </c>
      <c r="K621" t="str">
        <f t="shared" si="46"/>
        <v>Normal</v>
      </c>
      <c r="L621">
        <f t="shared" si="47"/>
        <v>1</v>
      </c>
      <c r="M621">
        <f t="shared" si="48"/>
        <v>1</v>
      </c>
      <c r="N621" s="6">
        <f t="shared" si="49"/>
        <v>45673</v>
      </c>
    </row>
    <row r="622" spans="1:14" x14ac:dyDescent="0.3">
      <c r="A622">
        <v>365</v>
      </c>
      <c r="B622">
        <v>10048</v>
      </c>
      <c r="C622" t="s">
        <v>388</v>
      </c>
      <c r="D622" t="s">
        <v>29</v>
      </c>
      <c r="E622" t="s">
        <v>11</v>
      </c>
      <c r="F622" t="s">
        <v>17</v>
      </c>
      <c r="G622" t="s">
        <v>21</v>
      </c>
      <c r="H622">
        <v>35577.65</v>
      </c>
      <c r="I622">
        <v>0</v>
      </c>
      <c r="J622" t="str">
        <f t="shared" si="45"/>
        <v>High</v>
      </c>
      <c r="K622" t="str">
        <f t="shared" si="46"/>
        <v>Normal</v>
      </c>
      <c r="L622">
        <f t="shared" si="47"/>
        <v>1</v>
      </c>
      <c r="M622">
        <f t="shared" si="48"/>
        <v>1</v>
      </c>
      <c r="N622" s="6">
        <f t="shared" si="49"/>
        <v>45673</v>
      </c>
    </row>
    <row r="623" spans="1:14" x14ac:dyDescent="0.3">
      <c r="A623">
        <v>366</v>
      </c>
      <c r="B623">
        <v>10016</v>
      </c>
      <c r="C623" t="s">
        <v>389</v>
      </c>
      <c r="D623" t="s">
        <v>10</v>
      </c>
      <c r="E623" t="s">
        <v>16</v>
      </c>
      <c r="F623" t="s">
        <v>12</v>
      </c>
      <c r="G623" t="s">
        <v>21</v>
      </c>
      <c r="H623">
        <v>4620.3900000000003</v>
      </c>
      <c r="I623">
        <v>0</v>
      </c>
      <c r="J623" t="str">
        <f t="shared" si="45"/>
        <v>High</v>
      </c>
      <c r="K623" t="str">
        <f t="shared" si="46"/>
        <v>Normal</v>
      </c>
      <c r="L623">
        <f t="shared" si="47"/>
        <v>1</v>
      </c>
      <c r="M623">
        <f t="shared" si="48"/>
        <v>1</v>
      </c>
      <c r="N623" s="6">
        <f t="shared" si="49"/>
        <v>45673</v>
      </c>
    </row>
    <row r="624" spans="1:14" x14ac:dyDescent="0.3">
      <c r="A624">
        <v>367</v>
      </c>
      <c r="B624">
        <v>10043</v>
      </c>
      <c r="C624" t="s">
        <v>390</v>
      </c>
      <c r="D624" t="s">
        <v>29</v>
      </c>
      <c r="E624" t="s">
        <v>24</v>
      </c>
      <c r="F624" t="s">
        <v>17</v>
      </c>
      <c r="G624" t="s">
        <v>18</v>
      </c>
      <c r="H624">
        <v>21869.08</v>
      </c>
      <c r="I624">
        <v>0</v>
      </c>
      <c r="J624" t="str">
        <f t="shared" si="45"/>
        <v>High</v>
      </c>
      <c r="K624" t="str">
        <f t="shared" si="46"/>
        <v>Normal</v>
      </c>
      <c r="L624">
        <f t="shared" si="47"/>
        <v>1</v>
      </c>
      <c r="M624">
        <f t="shared" si="48"/>
        <v>1</v>
      </c>
      <c r="N624" s="6">
        <f t="shared" si="49"/>
        <v>45673</v>
      </c>
    </row>
    <row r="625" spans="1:14" x14ac:dyDescent="0.3">
      <c r="A625">
        <v>368</v>
      </c>
      <c r="B625">
        <v>10091</v>
      </c>
      <c r="C625" t="s">
        <v>391</v>
      </c>
      <c r="D625" t="s">
        <v>15</v>
      </c>
      <c r="E625" t="s">
        <v>11</v>
      </c>
      <c r="F625" t="s">
        <v>17</v>
      </c>
      <c r="G625" t="s">
        <v>31</v>
      </c>
      <c r="H625">
        <v>1616.17</v>
      </c>
      <c r="I625">
        <v>0</v>
      </c>
      <c r="J625" t="str">
        <f t="shared" si="45"/>
        <v>High</v>
      </c>
      <c r="K625" t="str">
        <f t="shared" si="46"/>
        <v>Normal</v>
      </c>
      <c r="L625">
        <f t="shared" si="47"/>
        <v>1</v>
      </c>
      <c r="M625">
        <f t="shared" si="48"/>
        <v>1</v>
      </c>
      <c r="N625" s="6">
        <f t="shared" si="49"/>
        <v>45673</v>
      </c>
    </row>
    <row r="626" spans="1:14" x14ac:dyDescent="0.3">
      <c r="A626">
        <v>369</v>
      </c>
      <c r="B626">
        <v>10029</v>
      </c>
      <c r="C626" t="s">
        <v>392</v>
      </c>
      <c r="D626" t="s">
        <v>10</v>
      </c>
      <c r="E626" t="s">
        <v>24</v>
      </c>
      <c r="F626" t="s">
        <v>17</v>
      </c>
      <c r="G626" t="s">
        <v>18</v>
      </c>
      <c r="H626">
        <v>58183.57</v>
      </c>
      <c r="I626">
        <v>0</v>
      </c>
      <c r="J626" t="str">
        <f t="shared" si="45"/>
        <v>High</v>
      </c>
      <c r="K626" t="str">
        <f t="shared" si="46"/>
        <v>Normal</v>
      </c>
      <c r="L626">
        <f t="shared" si="47"/>
        <v>1</v>
      </c>
      <c r="M626">
        <f t="shared" si="48"/>
        <v>1</v>
      </c>
      <c r="N626" s="6">
        <f t="shared" si="49"/>
        <v>45673</v>
      </c>
    </row>
    <row r="627" spans="1:14" x14ac:dyDescent="0.3">
      <c r="A627">
        <v>370</v>
      </c>
      <c r="B627">
        <v>10092</v>
      </c>
      <c r="C627" t="s">
        <v>393</v>
      </c>
      <c r="D627" t="s">
        <v>29</v>
      </c>
      <c r="E627" t="s">
        <v>24</v>
      </c>
      <c r="F627" t="s">
        <v>17</v>
      </c>
      <c r="G627" t="s">
        <v>18</v>
      </c>
      <c r="H627">
        <v>10674.74</v>
      </c>
      <c r="I627">
        <v>0</v>
      </c>
      <c r="J627" t="str">
        <f t="shared" si="45"/>
        <v>High</v>
      </c>
      <c r="K627" t="str">
        <f t="shared" si="46"/>
        <v>Normal</v>
      </c>
      <c r="L627">
        <f t="shared" si="47"/>
        <v>1</v>
      </c>
      <c r="M627">
        <f t="shared" si="48"/>
        <v>1</v>
      </c>
      <c r="N627" s="6">
        <f t="shared" si="49"/>
        <v>45673</v>
      </c>
    </row>
    <row r="628" spans="1:14" x14ac:dyDescent="0.3">
      <c r="A628">
        <v>371</v>
      </c>
      <c r="B628">
        <v>10045</v>
      </c>
      <c r="C628" t="s">
        <v>394</v>
      </c>
      <c r="D628" t="s">
        <v>20</v>
      </c>
      <c r="E628" t="s">
        <v>24</v>
      </c>
      <c r="F628" t="s">
        <v>17</v>
      </c>
      <c r="G628" t="s">
        <v>18</v>
      </c>
      <c r="H628">
        <v>87314.64</v>
      </c>
      <c r="I628">
        <v>0</v>
      </c>
      <c r="J628" t="str">
        <f t="shared" si="45"/>
        <v>High</v>
      </c>
      <c r="K628" t="str">
        <f t="shared" si="46"/>
        <v>Normal</v>
      </c>
      <c r="L628">
        <f t="shared" si="47"/>
        <v>1</v>
      </c>
      <c r="M628">
        <f t="shared" si="48"/>
        <v>1</v>
      </c>
      <c r="N628" s="6">
        <f t="shared" si="49"/>
        <v>45673</v>
      </c>
    </row>
    <row r="629" spans="1:14" x14ac:dyDescent="0.3">
      <c r="A629">
        <v>372</v>
      </c>
      <c r="B629">
        <v>10005</v>
      </c>
      <c r="C629" t="s">
        <v>395</v>
      </c>
      <c r="D629" t="s">
        <v>10</v>
      </c>
      <c r="E629" t="s">
        <v>11</v>
      </c>
      <c r="F629" t="s">
        <v>17</v>
      </c>
      <c r="G629" t="s">
        <v>21</v>
      </c>
      <c r="H629">
        <v>52361.99</v>
      </c>
      <c r="I629">
        <v>1</v>
      </c>
      <c r="J629" t="str">
        <f t="shared" si="45"/>
        <v>High</v>
      </c>
      <c r="K629" t="str">
        <f t="shared" si="46"/>
        <v>High Risk</v>
      </c>
      <c r="L629">
        <f t="shared" si="47"/>
        <v>1</v>
      </c>
      <c r="M629">
        <f t="shared" si="48"/>
        <v>1</v>
      </c>
      <c r="N629" s="6">
        <f t="shared" si="49"/>
        <v>45673</v>
      </c>
    </row>
    <row r="630" spans="1:14" x14ac:dyDescent="0.3">
      <c r="A630">
        <v>373</v>
      </c>
      <c r="B630">
        <v>10098</v>
      </c>
      <c r="C630" t="s">
        <v>396</v>
      </c>
      <c r="D630" t="s">
        <v>10</v>
      </c>
      <c r="E630" t="s">
        <v>16</v>
      </c>
      <c r="F630" t="s">
        <v>17</v>
      </c>
      <c r="G630" t="s">
        <v>21</v>
      </c>
      <c r="H630">
        <v>69999.02</v>
      </c>
      <c r="I630">
        <v>0</v>
      </c>
      <c r="J630" t="str">
        <f t="shared" si="45"/>
        <v>High</v>
      </c>
      <c r="K630" t="str">
        <f t="shared" si="46"/>
        <v>Normal</v>
      </c>
      <c r="L630">
        <f t="shared" si="47"/>
        <v>1</v>
      </c>
      <c r="M630">
        <f t="shared" si="48"/>
        <v>1</v>
      </c>
      <c r="N630" s="6">
        <f t="shared" si="49"/>
        <v>45673</v>
      </c>
    </row>
    <row r="631" spans="1:14" x14ac:dyDescent="0.3">
      <c r="A631">
        <v>374</v>
      </c>
      <c r="B631">
        <v>10036</v>
      </c>
      <c r="C631" t="s">
        <v>397</v>
      </c>
      <c r="D631" t="s">
        <v>20</v>
      </c>
      <c r="E631" t="s">
        <v>16</v>
      </c>
      <c r="F631" t="s">
        <v>17</v>
      </c>
      <c r="G631" t="s">
        <v>18</v>
      </c>
      <c r="H631">
        <v>41144.620000000003</v>
      </c>
      <c r="I631">
        <v>0</v>
      </c>
      <c r="J631" t="str">
        <f t="shared" si="45"/>
        <v>High</v>
      </c>
      <c r="K631" t="str">
        <f t="shared" si="46"/>
        <v>Normal</v>
      </c>
      <c r="L631">
        <f t="shared" si="47"/>
        <v>1</v>
      </c>
      <c r="M631">
        <f t="shared" si="48"/>
        <v>1</v>
      </c>
      <c r="N631" s="6">
        <f t="shared" si="49"/>
        <v>45673</v>
      </c>
    </row>
    <row r="632" spans="1:14" x14ac:dyDescent="0.3">
      <c r="A632">
        <v>375</v>
      </c>
      <c r="B632">
        <v>10023</v>
      </c>
      <c r="C632" t="s">
        <v>398</v>
      </c>
      <c r="D632" t="s">
        <v>23</v>
      </c>
      <c r="E632" t="s">
        <v>11</v>
      </c>
      <c r="F632" t="s">
        <v>12</v>
      </c>
      <c r="G632" t="s">
        <v>21</v>
      </c>
      <c r="H632">
        <v>56101.919999999998</v>
      </c>
      <c r="I632">
        <v>1</v>
      </c>
      <c r="J632" t="str">
        <f t="shared" si="45"/>
        <v>High</v>
      </c>
      <c r="K632" t="str">
        <f t="shared" si="46"/>
        <v>High Risk</v>
      </c>
      <c r="L632">
        <f t="shared" si="47"/>
        <v>1</v>
      </c>
      <c r="M632">
        <f t="shared" si="48"/>
        <v>1</v>
      </c>
      <c r="N632" s="6">
        <f t="shared" si="49"/>
        <v>45673</v>
      </c>
    </row>
    <row r="633" spans="1:14" x14ac:dyDescent="0.3">
      <c r="A633">
        <v>376</v>
      </c>
      <c r="B633">
        <v>10092</v>
      </c>
      <c r="C633" t="s">
        <v>399</v>
      </c>
      <c r="D633" t="s">
        <v>15</v>
      </c>
      <c r="E633" t="s">
        <v>24</v>
      </c>
      <c r="F633" t="s">
        <v>17</v>
      </c>
      <c r="G633" t="s">
        <v>31</v>
      </c>
      <c r="H633">
        <v>94271.65</v>
      </c>
      <c r="I633">
        <v>0</v>
      </c>
      <c r="J633" t="str">
        <f t="shared" si="45"/>
        <v>High</v>
      </c>
      <c r="K633" t="str">
        <f t="shared" si="46"/>
        <v>Normal</v>
      </c>
      <c r="L633">
        <f t="shared" si="47"/>
        <v>1</v>
      </c>
      <c r="M633">
        <f t="shared" si="48"/>
        <v>1</v>
      </c>
      <c r="N633" s="6">
        <f t="shared" si="49"/>
        <v>45673</v>
      </c>
    </row>
    <row r="634" spans="1:14" x14ac:dyDescent="0.3">
      <c r="A634">
        <v>377</v>
      </c>
      <c r="B634">
        <v>10045</v>
      </c>
      <c r="C634" t="s">
        <v>400</v>
      </c>
      <c r="D634" t="s">
        <v>23</v>
      </c>
      <c r="E634" t="s">
        <v>11</v>
      </c>
      <c r="F634" t="s">
        <v>12</v>
      </c>
      <c r="G634" t="s">
        <v>18</v>
      </c>
      <c r="H634">
        <v>8365.1299999999992</v>
      </c>
      <c r="I634">
        <v>0</v>
      </c>
      <c r="J634" t="str">
        <f t="shared" si="45"/>
        <v>High</v>
      </c>
      <c r="K634" t="str">
        <f t="shared" si="46"/>
        <v>Normal</v>
      </c>
      <c r="L634">
        <f t="shared" si="47"/>
        <v>1</v>
      </c>
      <c r="M634">
        <f t="shared" si="48"/>
        <v>1</v>
      </c>
      <c r="N634" s="6">
        <f t="shared" si="49"/>
        <v>45673</v>
      </c>
    </row>
    <row r="635" spans="1:14" x14ac:dyDescent="0.3">
      <c r="A635">
        <v>378</v>
      </c>
      <c r="B635">
        <v>10052</v>
      </c>
      <c r="C635" t="s">
        <v>401</v>
      </c>
      <c r="D635" t="s">
        <v>29</v>
      </c>
      <c r="E635" t="s">
        <v>11</v>
      </c>
      <c r="F635" t="s">
        <v>17</v>
      </c>
      <c r="G635" t="s">
        <v>21</v>
      </c>
      <c r="H635">
        <v>25468.38</v>
      </c>
      <c r="I635">
        <v>0</v>
      </c>
      <c r="J635" t="str">
        <f t="shared" si="45"/>
        <v>High</v>
      </c>
      <c r="K635" t="str">
        <f t="shared" si="46"/>
        <v>Normal</v>
      </c>
      <c r="L635">
        <f t="shared" si="47"/>
        <v>1</v>
      </c>
      <c r="M635">
        <f t="shared" si="48"/>
        <v>1</v>
      </c>
      <c r="N635" s="6">
        <f t="shared" si="49"/>
        <v>45673</v>
      </c>
    </row>
    <row r="636" spans="1:14" x14ac:dyDescent="0.3">
      <c r="A636">
        <v>379</v>
      </c>
      <c r="B636">
        <v>10094</v>
      </c>
      <c r="C636" t="s">
        <v>402</v>
      </c>
      <c r="D636" t="s">
        <v>20</v>
      </c>
      <c r="E636" t="s">
        <v>11</v>
      </c>
      <c r="F636" t="s">
        <v>17</v>
      </c>
      <c r="G636" t="s">
        <v>25</v>
      </c>
      <c r="H636">
        <v>78020.83</v>
      </c>
      <c r="I636">
        <v>1</v>
      </c>
      <c r="J636" t="str">
        <f t="shared" si="45"/>
        <v>High</v>
      </c>
      <c r="K636" t="str">
        <f t="shared" si="46"/>
        <v>High Risk</v>
      </c>
      <c r="L636">
        <f t="shared" si="47"/>
        <v>1</v>
      </c>
      <c r="M636">
        <f t="shared" si="48"/>
        <v>1</v>
      </c>
      <c r="N636" s="6">
        <f t="shared" si="49"/>
        <v>45673</v>
      </c>
    </row>
    <row r="637" spans="1:14" x14ac:dyDescent="0.3">
      <c r="A637">
        <v>380</v>
      </c>
      <c r="B637">
        <v>10098</v>
      </c>
      <c r="C637" t="s">
        <v>403</v>
      </c>
      <c r="D637" t="s">
        <v>23</v>
      </c>
      <c r="E637" t="s">
        <v>24</v>
      </c>
      <c r="F637" t="s">
        <v>17</v>
      </c>
      <c r="G637" t="s">
        <v>18</v>
      </c>
      <c r="H637">
        <v>9963.85</v>
      </c>
      <c r="I637">
        <v>0</v>
      </c>
      <c r="J637" t="str">
        <f t="shared" si="45"/>
        <v>High</v>
      </c>
      <c r="K637" t="str">
        <f t="shared" si="46"/>
        <v>Normal</v>
      </c>
      <c r="L637">
        <f t="shared" si="47"/>
        <v>1</v>
      </c>
      <c r="M637">
        <f t="shared" si="48"/>
        <v>1</v>
      </c>
      <c r="N637" s="6">
        <f t="shared" si="49"/>
        <v>45673</v>
      </c>
    </row>
    <row r="638" spans="1:14" x14ac:dyDescent="0.3">
      <c r="A638">
        <v>381</v>
      </c>
      <c r="B638">
        <v>10059</v>
      </c>
      <c r="C638" t="s">
        <v>404</v>
      </c>
      <c r="D638" t="s">
        <v>10</v>
      </c>
      <c r="E638" t="s">
        <v>11</v>
      </c>
      <c r="F638" t="s">
        <v>17</v>
      </c>
      <c r="G638" t="s">
        <v>18</v>
      </c>
      <c r="H638">
        <v>7658.54</v>
      </c>
      <c r="I638">
        <v>0</v>
      </c>
      <c r="J638" t="str">
        <f t="shared" si="45"/>
        <v>High</v>
      </c>
      <c r="K638" t="str">
        <f t="shared" si="46"/>
        <v>Normal</v>
      </c>
      <c r="L638">
        <f t="shared" si="47"/>
        <v>1</v>
      </c>
      <c r="M638">
        <f t="shared" si="48"/>
        <v>1</v>
      </c>
      <c r="N638" s="6">
        <f t="shared" si="49"/>
        <v>45673</v>
      </c>
    </row>
    <row r="639" spans="1:14" x14ac:dyDescent="0.3">
      <c r="A639">
        <v>382</v>
      </c>
      <c r="B639">
        <v>10096</v>
      </c>
      <c r="C639" t="s">
        <v>405</v>
      </c>
      <c r="D639" t="s">
        <v>29</v>
      </c>
      <c r="E639" t="s">
        <v>24</v>
      </c>
      <c r="F639" t="s">
        <v>12</v>
      </c>
      <c r="G639" t="s">
        <v>31</v>
      </c>
      <c r="H639">
        <v>36217.99</v>
      </c>
      <c r="I639">
        <v>0</v>
      </c>
      <c r="J639" t="str">
        <f t="shared" si="45"/>
        <v>High</v>
      </c>
      <c r="K639" t="str">
        <f t="shared" si="46"/>
        <v>Normal</v>
      </c>
      <c r="L639">
        <f t="shared" si="47"/>
        <v>1</v>
      </c>
      <c r="M639">
        <f t="shared" si="48"/>
        <v>1</v>
      </c>
      <c r="N639" s="6">
        <f t="shared" si="49"/>
        <v>45673</v>
      </c>
    </row>
    <row r="640" spans="1:14" x14ac:dyDescent="0.3">
      <c r="A640">
        <v>383</v>
      </c>
      <c r="B640">
        <v>10062</v>
      </c>
      <c r="C640" t="s">
        <v>406</v>
      </c>
      <c r="D640" t="s">
        <v>29</v>
      </c>
      <c r="E640" t="s">
        <v>11</v>
      </c>
      <c r="F640" t="s">
        <v>17</v>
      </c>
      <c r="G640" t="s">
        <v>13</v>
      </c>
      <c r="H640">
        <v>9307.58</v>
      </c>
      <c r="I640">
        <v>0</v>
      </c>
      <c r="J640" t="str">
        <f t="shared" si="45"/>
        <v>High</v>
      </c>
      <c r="K640" t="str">
        <f t="shared" si="46"/>
        <v>Normal</v>
      </c>
      <c r="L640">
        <f t="shared" si="47"/>
        <v>1</v>
      </c>
      <c r="M640">
        <f t="shared" si="48"/>
        <v>1</v>
      </c>
      <c r="N640" s="6">
        <f t="shared" si="49"/>
        <v>45673</v>
      </c>
    </row>
    <row r="641" spans="1:14" x14ac:dyDescent="0.3">
      <c r="A641">
        <v>384</v>
      </c>
      <c r="B641">
        <v>10084</v>
      </c>
      <c r="C641" t="s">
        <v>407</v>
      </c>
      <c r="D641" t="s">
        <v>23</v>
      </c>
      <c r="E641" t="s">
        <v>16</v>
      </c>
      <c r="F641" t="s">
        <v>17</v>
      </c>
      <c r="G641" t="s">
        <v>13</v>
      </c>
      <c r="H641">
        <v>58549.34</v>
      </c>
      <c r="I641">
        <v>0</v>
      </c>
      <c r="J641" t="str">
        <f t="shared" si="45"/>
        <v>High</v>
      </c>
      <c r="K641" t="str">
        <f t="shared" si="46"/>
        <v>Normal</v>
      </c>
      <c r="L641">
        <f t="shared" si="47"/>
        <v>1</v>
      </c>
      <c r="M641">
        <f t="shared" si="48"/>
        <v>1</v>
      </c>
      <c r="N641" s="6">
        <f t="shared" si="49"/>
        <v>45673</v>
      </c>
    </row>
    <row r="642" spans="1:14" x14ac:dyDescent="0.3">
      <c r="A642">
        <v>337</v>
      </c>
      <c r="B642">
        <v>10016</v>
      </c>
      <c r="C642" t="s">
        <v>360</v>
      </c>
      <c r="D642" t="s">
        <v>10</v>
      </c>
      <c r="E642" t="s">
        <v>24</v>
      </c>
      <c r="F642" t="s">
        <v>17</v>
      </c>
      <c r="G642" t="s">
        <v>18</v>
      </c>
      <c r="H642">
        <v>94159.14</v>
      </c>
      <c r="I642">
        <v>0</v>
      </c>
      <c r="J642" t="str">
        <f t="shared" ref="J642:J705" si="50">IF(E642&gt;50000,"High","Normal")</f>
        <v>High</v>
      </c>
      <c r="K642" t="str">
        <f t="shared" ref="K642:K705" si="51">IF(AND(H642&gt;50000,E642="Online"),"High Risk","Normal")</f>
        <v>Normal</v>
      </c>
      <c r="L642">
        <f t="shared" ref="L642:L705" si="52">COUNTIFS(C:C,C642,B:B,B642)</f>
        <v>1</v>
      </c>
      <c r="M642">
        <f t="shared" ref="M642:M705" si="53">IF(E642&gt;50000,1,0) + IF(H642="Unusual",1,0) + IF(I642&gt;3,1,0)</f>
        <v>1</v>
      </c>
      <c r="N642" s="6">
        <f t="shared" ref="N642:N705" si="54">INT(C642)</f>
        <v>45672</v>
      </c>
    </row>
    <row r="643" spans="1:14" x14ac:dyDescent="0.3">
      <c r="A643">
        <v>338</v>
      </c>
      <c r="B643">
        <v>10032</v>
      </c>
      <c r="C643" t="s">
        <v>361</v>
      </c>
      <c r="D643" t="s">
        <v>10</v>
      </c>
      <c r="E643" t="s">
        <v>11</v>
      </c>
      <c r="F643" t="s">
        <v>12</v>
      </c>
      <c r="G643" t="s">
        <v>31</v>
      </c>
      <c r="H643">
        <v>78442.2</v>
      </c>
      <c r="I643">
        <v>1</v>
      </c>
      <c r="J643" t="str">
        <f t="shared" si="50"/>
        <v>High</v>
      </c>
      <c r="K643" t="str">
        <f t="shared" si="51"/>
        <v>High Risk</v>
      </c>
      <c r="L643">
        <f t="shared" si="52"/>
        <v>1</v>
      </c>
      <c r="M643">
        <f t="shared" si="53"/>
        <v>1</v>
      </c>
      <c r="N643" s="6">
        <f t="shared" si="54"/>
        <v>45672</v>
      </c>
    </row>
    <row r="644" spans="1:14" x14ac:dyDescent="0.3">
      <c r="A644">
        <v>339</v>
      </c>
      <c r="B644">
        <v>10047</v>
      </c>
      <c r="C644" t="s">
        <v>362</v>
      </c>
      <c r="D644" t="s">
        <v>29</v>
      </c>
      <c r="E644" t="s">
        <v>16</v>
      </c>
      <c r="F644" t="s">
        <v>17</v>
      </c>
      <c r="G644" t="s">
        <v>25</v>
      </c>
      <c r="H644">
        <v>46292.88</v>
      </c>
      <c r="I644">
        <v>0</v>
      </c>
      <c r="J644" t="str">
        <f t="shared" si="50"/>
        <v>High</v>
      </c>
      <c r="K644" t="str">
        <f t="shared" si="51"/>
        <v>Normal</v>
      </c>
      <c r="L644">
        <f t="shared" si="52"/>
        <v>1</v>
      </c>
      <c r="M644">
        <f t="shared" si="53"/>
        <v>1</v>
      </c>
      <c r="N644" s="6">
        <f t="shared" si="54"/>
        <v>45672</v>
      </c>
    </row>
    <row r="645" spans="1:14" x14ac:dyDescent="0.3">
      <c r="A645">
        <v>340</v>
      </c>
      <c r="B645">
        <v>10075</v>
      </c>
      <c r="C645" t="s">
        <v>363</v>
      </c>
      <c r="D645" t="s">
        <v>29</v>
      </c>
      <c r="E645" t="s">
        <v>24</v>
      </c>
      <c r="F645" t="s">
        <v>12</v>
      </c>
      <c r="G645" t="s">
        <v>31</v>
      </c>
      <c r="H645">
        <v>86509.759999999995</v>
      </c>
      <c r="I645">
        <v>0</v>
      </c>
      <c r="J645" t="str">
        <f t="shared" si="50"/>
        <v>High</v>
      </c>
      <c r="K645" t="str">
        <f t="shared" si="51"/>
        <v>Normal</v>
      </c>
      <c r="L645">
        <f t="shared" si="52"/>
        <v>1</v>
      </c>
      <c r="M645">
        <f t="shared" si="53"/>
        <v>1</v>
      </c>
      <c r="N645" s="6">
        <f t="shared" si="54"/>
        <v>45672</v>
      </c>
    </row>
    <row r="646" spans="1:14" x14ac:dyDescent="0.3">
      <c r="A646">
        <v>341</v>
      </c>
      <c r="B646">
        <v>10058</v>
      </c>
      <c r="C646" t="s">
        <v>364</v>
      </c>
      <c r="D646" t="s">
        <v>10</v>
      </c>
      <c r="E646" t="s">
        <v>24</v>
      </c>
      <c r="F646" t="s">
        <v>17</v>
      </c>
      <c r="G646" t="s">
        <v>25</v>
      </c>
      <c r="H646">
        <v>25020.87</v>
      </c>
      <c r="I646">
        <v>0</v>
      </c>
      <c r="J646" t="str">
        <f t="shared" si="50"/>
        <v>High</v>
      </c>
      <c r="K646" t="str">
        <f t="shared" si="51"/>
        <v>Normal</v>
      </c>
      <c r="L646">
        <f t="shared" si="52"/>
        <v>1</v>
      </c>
      <c r="M646">
        <f t="shared" si="53"/>
        <v>1</v>
      </c>
      <c r="N646" s="6">
        <f t="shared" si="54"/>
        <v>45672</v>
      </c>
    </row>
    <row r="647" spans="1:14" x14ac:dyDescent="0.3">
      <c r="A647">
        <v>342</v>
      </c>
      <c r="B647">
        <v>10085</v>
      </c>
      <c r="C647" t="s">
        <v>365</v>
      </c>
      <c r="D647" t="s">
        <v>29</v>
      </c>
      <c r="E647" t="s">
        <v>24</v>
      </c>
      <c r="F647" t="s">
        <v>12</v>
      </c>
      <c r="G647" t="s">
        <v>31</v>
      </c>
      <c r="H647">
        <v>71740.34</v>
      </c>
      <c r="I647">
        <v>0</v>
      </c>
      <c r="J647" t="str">
        <f t="shared" si="50"/>
        <v>High</v>
      </c>
      <c r="K647" t="str">
        <f t="shared" si="51"/>
        <v>Normal</v>
      </c>
      <c r="L647">
        <f t="shared" si="52"/>
        <v>1</v>
      </c>
      <c r="M647">
        <f t="shared" si="53"/>
        <v>1</v>
      </c>
      <c r="N647" s="6">
        <f t="shared" si="54"/>
        <v>45672</v>
      </c>
    </row>
    <row r="648" spans="1:14" x14ac:dyDescent="0.3">
      <c r="A648">
        <v>343</v>
      </c>
      <c r="B648">
        <v>10021</v>
      </c>
      <c r="C648" t="s">
        <v>366</v>
      </c>
      <c r="D648" t="s">
        <v>23</v>
      </c>
      <c r="E648" t="s">
        <v>24</v>
      </c>
      <c r="F648" t="s">
        <v>12</v>
      </c>
      <c r="G648" t="s">
        <v>18</v>
      </c>
      <c r="H648">
        <v>85627.64</v>
      </c>
      <c r="I648">
        <v>0</v>
      </c>
      <c r="J648" t="str">
        <f t="shared" si="50"/>
        <v>High</v>
      </c>
      <c r="K648" t="str">
        <f t="shared" si="51"/>
        <v>Normal</v>
      </c>
      <c r="L648">
        <f t="shared" si="52"/>
        <v>1</v>
      </c>
      <c r="M648">
        <f t="shared" si="53"/>
        <v>1</v>
      </c>
      <c r="N648" s="6">
        <f t="shared" si="54"/>
        <v>45672</v>
      </c>
    </row>
    <row r="649" spans="1:14" x14ac:dyDescent="0.3">
      <c r="A649">
        <v>344</v>
      </c>
      <c r="B649">
        <v>10029</v>
      </c>
      <c r="C649" t="s">
        <v>367</v>
      </c>
      <c r="D649" t="s">
        <v>10</v>
      </c>
      <c r="E649" t="s">
        <v>24</v>
      </c>
      <c r="F649" t="s">
        <v>17</v>
      </c>
      <c r="G649" t="s">
        <v>18</v>
      </c>
      <c r="H649">
        <v>35741.19</v>
      </c>
      <c r="I649">
        <v>0</v>
      </c>
      <c r="J649" t="str">
        <f t="shared" si="50"/>
        <v>High</v>
      </c>
      <c r="K649" t="str">
        <f t="shared" si="51"/>
        <v>Normal</v>
      </c>
      <c r="L649">
        <f t="shared" si="52"/>
        <v>1</v>
      </c>
      <c r="M649">
        <f t="shared" si="53"/>
        <v>1</v>
      </c>
      <c r="N649" s="6">
        <f t="shared" si="54"/>
        <v>45672</v>
      </c>
    </row>
    <row r="650" spans="1:14" x14ac:dyDescent="0.3">
      <c r="A650">
        <v>345</v>
      </c>
      <c r="B650">
        <v>10037</v>
      </c>
      <c r="C650" t="s">
        <v>368</v>
      </c>
      <c r="D650" t="s">
        <v>29</v>
      </c>
      <c r="E650" t="s">
        <v>16</v>
      </c>
      <c r="F650" t="s">
        <v>12</v>
      </c>
      <c r="G650" t="s">
        <v>21</v>
      </c>
      <c r="H650">
        <v>75770.7</v>
      </c>
      <c r="I650">
        <v>0</v>
      </c>
      <c r="J650" t="str">
        <f t="shared" si="50"/>
        <v>High</v>
      </c>
      <c r="K650" t="str">
        <f t="shared" si="51"/>
        <v>Normal</v>
      </c>
      <c r="L650">
        <f t="shared" si="52"/>
        <v>1</v>
      </c>
      <c r="M650">
        <f t="shared" si="53"/>
        <v>1</v>
      </c>
      <c r="N650" s="6">
        <f t="shared" si="54"/>
        <v>45672</v>
      </c>
    </row>
    <row r="651" spans="1:14" x14ac:dyDescent="0.3">
      <c r="A651">
        <v>346</v>
      </c>
      <c r="B651">
        <v>10050</v>
      </c>
      <c r="C651" t="s">
        <v>369</v>
      </c>
      <c r="D651" t="s">
        <v>10</v>
      </c>
      <c r="E651" t="s">
        <v>16</v>
      </c>
      <c r="F651" t="s">
        <v>12</v>
      </c>
      <c r="G651" t="s">
        <v>13</v>
      </c>
      <c r="H651">
        <v>29577.73</v>
      </c>
      <c r="I651">
        <v>0</v>
      </c>
      <c r="J651" t="str">
        <f t="shared" si="50"/>
        <v>High</v>
      </c>
      <c r="K651" t="str">
        <f t="shared" si="51"/>
        <v>Normal</v>
      </c>
      <c r="L651">
        <f t="shared" si="52"/>
        <v>1</v>
      </c>
      <c r="M651">
        <f t="shared" si="53"/>
        <v>1</v>
      </c>
      <c r="N651" s="6">
        <f t="shared" si="54"/>
        <v>45672</v>
      </c>
    </row>
    <row r="652" spans="1:14" x14ac:dyDescent="0.3">
      <c r="A652">
        <v>347</v>
      </c>
      <c r="B652">
        <v>10053</v>
      </c>
      <c r="C652" t="s">
        <v>370</v>
      </c>
      <c r="D652" t="s">
        <v>20</v>
      </c>
      <c r="E652" t="s">
        <v>24</v>
      </c>
      <c r="F652" t="s">
        <v>17</v>
      </c>
      <c r="G652" t="s">
        <v>31</v>
      </c>
      <c r="H652">
        <v>29955.83</v>
      </c>
      <c r="I652">
        <v>0</v>
      </c>
      <c r="J652" t="str">
        <f t="shared" si="50"/>
        <v>High</v>
      </c>
      <c r="K652" t="str">
        <f t="shared" si="51"/>
        <v>Normal</v>
      </c>
      <c r="L652">
        <f t="shared" si="52"/>
        <v>1</v>
      </c>
      <c r="M652">
        <f t="shared" si="53"/>
        <v>1</v>
      </c>
      <c r="N652" s="6">
        <f t="shared" si="54"/>
        <v>45672</v>
      </c>
    </row>
    <row r="653" spans="1:14" x14ac:dyDescent="0.3">
      <c r="A653">
        <v>348</v>
      </c>
      <c r="B653">
        <v>10007</v>
      </c>
      <c r="C653" t="s">
        <v>371</v>
      </c>
      <c r="D653" t="s">
        <v>15</v>
      </c>
      <c r="E653" t="s">
        <v>11</v>
      </c>
      <c r="F653" t="s">
        <v>12</v>
      </c>
      <c r="G653" t="s">
        <v>21</v>
      </c>
      <c r="H653">
        <v>10795.01</v>
      </c>
      <c r="I653">
        <v>0</v>
      </c>
      <c r="J653" t="str">
        <f t="shared" si="50"/>
        <v>High</v>
      </c>
      <c r="K653" t="str">
        <f t="shared" si="51"/>
        <v>Normal</v>
      </c>
      <c r="L653">
        <f t="shared" si="52"/>
        <v>1</v>
      </c>
      <c r="M653">
        <f t="shared" si="53"/>
        <v>1</v>
      </c>
      <c r="N653" s="6">
        <f t="shared" si="54"/>
        <v>45672</v>
      </c>
    </row>
    <row r="654" spans="1:14" x14ac:dyDescent="0.3">
      <c r="A654">
        <v>349</v>
      </c>
      <c r="B654">
        <v>10026</v>
      </c>
      <c r="C654" t="s">
        <v>372</v>
      </c>
      <c r="D654" t="s">
        <v>10</v>
      </c>
      <c r="E654" t="s">
        <v>16</v>
      </c>
      <c r="F654" t="s">
        <v>17</v>
      </c>
      <c r="G654" t="s">
        <v>13</v>
      </c>
      <c r="H654">
        <v>44061.8</v>
      </c>
      <c r="I654">
        <v>0</v>
      </c>
      <c r="J654" t="str">
        <f t="shared" si="50"/>
        <v>High</v>
      </c>
      <c r="K654" t="str">
        <f t="shared" si="51"/>
        <v>Normal</v>
      </c>
      <c r="L654">
        <f t="shared" si="52"/>
        <v>1</v>
      </c>
      <c r="M654">
        <f t="shared" si="53"/>
        <v>1</v>
      </c>
      <c r="N654" s="6">
        <f t="shared" si="54"/>
        <v>45672</v>
      </c>
    </row>
    <row r="655" spans="1:14" x14ac:dyDescent="0.3">
      <c r="A655">
        <v>350</v>
      </c>
      <c r="B655">
        <v>10026</v>
      </c>
      <c r="C655" t="s">
        <v>373</v>
      </c>
      <c r="D655" t="s">
        <v>15</v>
      </c>
      <c r="E655" t="s">
        <v>11</v>
      </c>
      <c r="F655" t="s">
        <v>17</v>
      </c>
      <c r="G655" t="s">
        <v>31</v>
      </c>
      <c r="H655">
        <v>72998.22</v>
      </c>
      <c r="I655">
        <v>1</v>
      </c>
      <c r="J655" t="str">
        <f t="shared" si="50"/>
        <v>High</v>
      </c>
      <c r="K655" t="str">
        <f t="shared" si="51"/>
        <v>High Risk</v>
      </c>
      <c r="L655">
        <f t="shared" si="52"/>
        <v>1</v>
      </c>
      <c r="M655">
        <f t="shared" si="53"/>
        <v>1</v>
      </c>
      <c r="N655" s="6">
        <f t="shared" si="54"/>
        <v>45672</v>
      </c>
    </row>
    <row r="656" spans="1:14" x14ac:dyDescent="0.3">
      <c r="A656">
        <v>351</v>
      </c>
      <c r="B656">
        <v>10097</v>
      </c>
      <c r="C656" t="s">
        <v>374</v>
      </c>
      <c r="D656" t="s">
        <v>29</v>
      </c>
      <c r="E656" t="s">
        <v>16</v>
      </c>
      <c r="F656" t="s">
        <v>17</v>
      </c>
      <c r="G656" t="s">
        <v>25</v>
      </c>
      <c r="H656">
        <v>94028.06</v>
      </c>
      <c r="I656">
        <v>0</v>
      </c>
      <c r="J656" t="str">
        <f t="shared" si="50"/>
        <v>High</v>
      </c>
      <c r="K656" t="str">
        <f t="shared" si="51"/>
        <v>Normal</v>
      </c>
      <c r="L656">
        <f t="shared" si="52"/>
        <v>1</v>
      </c>
      <c r="M656">
        <f t="shared" si="53"/>
        <v>1</v>
      </c>
      <c r="N656" s="6">
        <f t="shared" si="54"/>
        <v>45672</v>
      </c>
    </row>
    <row r="657" spans="1:14" x14ac:dyDescent="0.3">
      <c r="A657">
        <v>352</v>
      </c>
      <c r="B657">
        <v>10020</v>
      </c>
      <c r="C657" t="s">
        <v>375</v>
      </c>
      <c r="D657" t="s">
        <v>15</v>
      </c>
      <c r="E657" t="s">
        <v>24</v>
      </c>
      <c r="F657" t="s">
        <v>17</v>
      </c>
      <c r="G657" t="s">
        <v>13</v>
      </c>
      <c r="H657">
        <v>60419.32</v>
      </c>
      <c r="I657">
        <v>0</v>
      </c>
      <c r="J657" t="str">
        <f t="shared" si="50"/>
        <v>High</v>
      </c>
      <c r="K657" t="str">
        <f t="shared" si="51"/>
        <v>Normal</v>
      </c>
      <c r="L657">
        <f t="shared" si="52"/>
        <v>1</v>
      </c>
      <c r="M657">
        <f t="shared" si="53"/>
        <v>1</v>
      </c>
      <c r="N657" s="6">
        <f t="shared" si="54"/>
        <v>45672</v>
      </c>
    </row>
    <row r="658" spans="1:14" x14ac:dyDescent="0.3">
      <c r="A658">
        <v>353</v>
      </c>
      <c r="B658">
        <v>10029</v>
      </c>
      <c r="C658" t="s">
        <v>376</v>
      </c>
      <c r="D658" t="s">
        <v>10</v>
      </c>
      <c r="E658" t="s">
        <v>16</v>
      </c>
      <c r="F658" t="s">
        <v>12</v>
      </c>
      <c r="G658" t="s">
        <v>18</v>
      </c>
      <c r="H658">
        <v>86327.24</v>
      </c>
      <c r="I658">
        <v>0</v>
      </c>
      <c r="J658" t="str">
        <f t="shared" si="50"/>
        <v>High</v>
      </c>
      <c r="K658" t="str">
        <f t="shared" si="51"/>
        <v>Normal</v>
      </c>
      <c r="L658">
        <f t="shared" si="52"/>
        <v>1</v>
      </c>
      <c r="M658">
        <f t="shared" si="53"/>
        <v>1</v>
      </c>
      <c r="N658" s="6">
        <f t="shared" si="54"/>
        <v>45672</v>
      </c>
    </row>
    <row r="659" spans="1:14" x14ac:dyDescent="0.3">
      <c r="A659">
        <v>354</v>
      </c>
      <c r="B659">
        <v>10096</v>
      </c>
      <c r="C659" t="s">
        <v>377</v>
      </c>
      <c r="D659" t="s">
        <v>20</v>
      </c>
      <c r="E659" t="s">
        <v>24</v>
      </c>
      <c r="F659" t="s">
        <v>12</v>
      </c>
      <c r="G659" t="s">
        <v>21</v>
      </c>
      <c r="H659">
        <v>82267.22</v>
      </c>
      <c r="I659">
        <v>0</v>
      </c>
      <c r="J659" t="str">
        <f t="shared" si="50"/>
        <v>High</v>
      </c>
      <c r="K659" t="str">
        <f t="shared" si="51"/>
        <v>Normal</v>
      </c>
      <c r="L659">
        <f t="shared" si="52"/>
        <v>1</v>
      </c>
      <c r="M659">
        <f t="shared" si="53"/>
        <v>1</v>
      </c>
      <c r="N659" s="6">
        <f t="shared" si="54"/>
        <v>45672</v>
      </c>
    </row>
    <row r="660" spans="1:14" x14ac:dyDescent="0.3">
      <c r="A660">
        <v>355</v>
      </c>
      <c r="B660">
        <v>10027</v>
      </c>
      <c r="C660" t="s">
        <v>378</v>
      </c>
      <c r="D660" t="s">
        <v>29</v>
      </c>
      <c r="E660" t="s">
        <v>16</v>
      </c>
      <c r="F660" t="s">
        <v>12</v>
      </c>
      <c r="G660" t="s">
        <v>13</v>
      </c>
      <c r="H660">
        <v>17416.97</v>
      </c>
      <c r="I660">
        <v>0</v>
      </c>
      <c r="J660" t="str">
        <f t="shared" si="50"/>
        <v>High</v>
      </c>
      <c r="K660" t="str">
        <f t="shared" si="51"/>
        <v>Normal</v>
      </c>
      <c r="L660">
        <f t="shared" si="52"/>
        <v>1</v>
      </c>
      <c r="M660">
        <f t="shared" si="53"/>
        <v>1</v>
      </c>
      <c r="N660" s="6">
        <f t="shared" si="54"/>
        <v>45672</v>
      </c>
    </row>
    <row r="661" spans="1:14" x14ac:dyDescent="0.3">
      <c r="A661">
        <v>356</v>
      </c>
      <c r="B661">
        <v>10063</v>
      </c>
      <c r="C661" t="s">
        <v>379</v>
      </c>
      <c r="D661" t="s">
        <v>10</v>
      </c>
      <c r="E661" t="s">
        <v>24</v>
      </c>
      <c r="F661" t="s">
        <v>17</v>
      </c>
      <c r="G661" t="s">
        <v>13</v>
      </c>
      <c r="H661">
        <v>48633.16</v>
      </c>
      <c r="I661">
        <v>0</v>
      </c>
      <c r="J661" t="str">
        <f t="shared" si="50"/>
        <v>High</v>
      </c>
      <c r="K661" t="str">
        <f t="shared" si="51"/>
        <v>Normal</v>
      </c>
      <c r="L661">
        <f t="shared" si="52"/>
        <v>1</v>
      </c>
      <c r="M661">
        <f t="shared" si="53"/>
        <v>1</v>
      </c>
      <c r="N661" s="6">
        <f t="shared" si="54"/>
        <v>45672</v>
      </c>
    </row>
    <row r="662" spans="1:14" x14ac:dyDescent="0.3">
      <c r="A662">
        <v>357</v>
      </c>
      <c r="B662">
        <v>10096</v>
      </c>
      <c r="C662" t="s">
        <v>380</v>
      </c>
      <c r="D662" t="s">
        <v>29</v>
      </c>
      <c r="E662" t="s">
        <v>24</v>
      </c>
      <c r="F662" t="s">
        <v>12</v>
      </c>
      <c r="G662" t="s">
        <v>18</v>
      </c>
      <c r="H662">
        <v>11780.66</v>
      </c>
      <c r="I662">
        <v>0</v>
      </c>
      <c r="J662" t="str">
        <f t="shared" si="50"/>
        <v>High</v>
      </c>
      <c r="K662" t="str">
        <f t="shared" si="51"/>
        <v>Normal</v>
      </c>
      <c r="L662">
        <f t="shared" si="52"/>
        <v>1</v>
      </c>
      <c r="M662">
        <f t="shared" si="53"/>
        <v>1</v>
      </c>
      <c r="N662" s="6">
        <f t="shared" si="54"/>
        <v>45672</v>
      </c>
    </row>
    <row r="663" spans="1:14" x14ac:dyDescent="0.3">
      <c r="A663">
        <v>358</v>
      </c>
      <c r="B663">
        <v>10068</v>
      </c>
      <c r="C663" t="s">
        <v>381</v>
      </c>
      <c r="D663" t="s">
        <v>23</v>
      </c>
      <c r="E663" t="s">
        <v>24</v>
      </c>
      <c r="F663" t="s">
        <v>12</v>
      </c>
      <c r="G663" t="s">
        <v>31</v>
      </c>
      <c r="H663">
        <v>68247.100000000006</v>
      </c>
      <c r="I663">
        <v>0</v>
      </c>
      <c r="J663" t="str">
        <f t="shared" si="50"/>
        <v>High</v>
      </c>
      <c r="K663" t="str">
        <f t="shared" si="51"/>
        <v>Normal</v>
      </c>
      <c r="L663">
        <f t="shared" si="52"/>
        <v>1</v>
      </c>
      <c r="M663">
        <f t="shared" si="53"/>
        <v>1</v>
      </c>
      <c r="N663" s="6">
        <f t="shared" si="54"/>
        <v>45672</v>
      </c>
    </row>
    <row r="664" spans="1:14" x14ac:dyDescent="0.3">
      <c r="A664">
        <v>359</v>
      </c>
      <c r="B664">
        <v>10060</v>
      </c>
      <c r="C664" t="s">
        <v>382</v>
      </c>
      <c r="D664" t="s">
        <v>15</v>
      </c>
      <c r="E664" t="s">
        <v>24</v>
      </c>
      <c r="F664" t="s">
        <v>17</v>
      </c>
      <c r="G664" t="s">
        <v>25</v>
      </c>
      <c r="H664">
        <v>94994.98</v>
      </c>
      <c r="I664">
        <v>0</v>
      </c>
      <c r="J664" t="str">
        <f t="shared" si="50"/>
        <v>High</v>
      </c>
      <c r="K664" t="str">
        <f t="shared" si="51"/>
        <v>Normal</v>
      </c>
      <c r="L664">
        <f t="shared" si="52"/>
        <v>1</v>
      </c>
      <c r="M664">
        <f t="shared" si="53"/>
        <v>1</v>
      </c>
      <c r="N664" s="6">
        <f t="shared" si="54"/>
        <v>45672</v>
      </c>
    </row>
    <row r="665" spans="1:14" x14ac:dyDescent="0.3">
      <c r="A665">
        <v>360</v>
      </c>
      <c r="B665">
        <v>10047</v>
      </c>
      <c r="C665" t="s">
        <v>383</v>
      </c>
      <c r="D665" t="s">
        <v>23</v>
      </c>
      <c r="E665" t="s">
        <v>11</v>
      </c>
      <c r="F665" t="s">
        <v>17</v>
      </c>
      <c r="G665" t="s">
        <v>18</v>
      </c>
      <c r="H665">
        <v>13795.24</v>
      </c>
      <c r="I665">
        <v>0</v>
      </c>
      <c r="J665" t="str">
        <f t="shared" si="50"/>
        <v>High</v>
      </c>
      <c r="K665" t="str">
        <f t="shared" si="51"/>
        <v>Normal</v>
      </c>
      <c r="L665">
        <f t="shared" si="52"/>
        <v>1</v>
      </c>
      <c r="M665">
        <f t="shared" si="53"/>
        <v>1</v>
      </c>
      <c r="N665" s="6">
        <f t="shared" si="54"/>
        <v>45672</v>
      </c>
    </row>
    <row r="666" spans="1:14" x14ac:dyDescent="0.3">
      <c r="A666">
        <v>313</v>
      </c>
      <c r="B666">
        <v>10098</v>
      </c>
      <c r="C666" t="s">
        <v>336</v>
      </c>
      <c r="D666" t="s">
        <v>29</v>
      </c>
      <c r="E666" t="s">
        <v>24</v>
      </c>
      <c r="F666" t="s">
        <v>17</v>
      </c>
      <c r="G666" t="s">
        <v>21</v>
      </c>
      <c r="H666">
        <v>84968.47</v>
      </c>
      <c r="I666">
        <v>0</v>
      </c>
      <c r="J666" t="str">
        <f t="shared" si="50"/>
        <v>High</v>
      </c>
      <c r="K666" t="str">
        <f t="shared" si="51"/>
        <v>Normal</v>
      </c>
      <c r="L666">
        <f t="shared" si="52"/>
        <v>1</v>
      </c>
      <c r="M666">
        <f t="shared" si="53"/>
        <v>1</v>
      </c>
      <c r="N666" s="6">
        <f t="shared" si="54"/>
        <v>45671</v>
      </c>
    </row>
    <row r="667" spans="1:14" x14ac:dyDescent="0.3">
      <c r="A667">
        <v>314</v>
      </c>
      <c r="B667">
        <v>10088</v>
      </c>
      <c r="C667" t="s">
        <v>337</v>
      </c>
      <c r="D667" t="s">
        <v>29</v>
      </c>
      <c r="E667" t="s">
        <v>16</v>
      </c>
      <c r="F667" t="s">
        <v>12</v>
      </c>
      <c r="G667" t="s">
        <v>21</v>
      </c>
      <c r="H667">
        <v>8990.07</v>
      </c>
      <c r="I667">
        <v>0</v>
      </c>
      <c r="J667" t="str">
        <f t="shared" si="50"/>
        <v>High</v>
      </c>
      <c r="K667" t="str">
        <f t="shared" si="51"/>
        <v>Normal</v>
      </c>
      <c r="L667">
        <f t="shared" si="52"/>
        <v>1</v>
      </c>
      <c r="M667">
        <f t="shared" si="53"/>
        <v>1</v>
      </c>
      <c r="N667" s="6">
        <f t="shared" si="54"/>
        <v>45671</v>
      </c>
    </row>
    <row r="668" spans="1:14" x14ac:dyDescent="0.3">
      <c r="A668">
        <v>315</v>
      </c>
      <c r="B668">
        <v>10098</v>
      </c>
      <c r="C668" t="s">
        <v>338</v>
      </c>
      <c r="D668" t="s">
        <v>15</v>
      </c>
      <c r="E668" t="s">
        <v>11</v>
      </c>
      <c r="F668" t="s">
        <v>12</v>
      </c>
      <c r="G668" t="s">
        <v>18</v>
      </c>
      <c r="H668">
        <v>99170.44</v>
      </c>
      <c r="I668">
        <v>1</v>
      </c>
      <c r="J668" t="str">
        <f t="shared" si="50"/>
        <v>High</v>
      </c>
      <c r="K668" t="str">
        <f t="shared" si="51"/>
        <v>High Risk</v>
      </c>
      <c r="L668">
        <f t="shared" si="52"/>
        <v>1</v>
      </c>
      <c r="M668">
        <f t="shared" si="53"/>
        <v>1</v>
      </c>
      <c r="N668" s="6">
        <f t="shared" si="54"/>
        <v>45671</v>
      </c>
    </row>
    <row r="669" spans="1:14" x14ac:dyDescent="0.3">
      <c r="A669">
        <v>316</v>
      </c>
      <c r="B669">
        <v>10024</v>
      </c>
      <c r="C669" t="s">
        <v>339</v>
      </c>
      <c r="D669" t="s">
        <v>10</v>
      </c>
      <c r="E669" t="s">
        <v>11</v>
      </c>
      <c r="F669" t="s">
        <v>12</v>
      </c>
      <c r="G669" t="s">
        <v>25</v>
      </c>
      <c r="H669">
        <v>54146.19</v>
      </c>
      <c r="I669">
        <v>1</v>
      </c>
      <c r="J669" t="str">
        <f t="shared" si="50"/>
        <v>High</v>
      </c>
      <c r="K669" t="str">
        <f t="shared" si="51"/>
        <v>High Risk</v>
      </c>
      <c r="L669">
        <f t="shared" si="52"/>
        <v>1</v>
      </c>
      <c r="M669">
        <f t="shared" si="53"/>
        <v>1</v>
      </c>
      <c r="N669" s="6">
        <f t="shared" si="54"/>
        <v>45671</v>
      </c>
    </row>
    <row r="670" spans="1:14" x14ac:dyDescent="0.3">
      <c r="A670">
        <v>317</v>
      </c>
      <c r="B670">
        <v>10092</v>
      </c>
      <c r="C670" t="s">
        <v>340</v>
      </c>
      <c r="D670" t="s">
        <v>29</v>
      </c>
      <c r="E670" t="s">
        <v>11</v>
      </c>
      <c r="F670" t="s">
        <v>17</v>
      </c>
      <c r="G670" t="s">
        <v>21</v>
      </c>
      <c r="H670">
        <v>98486.09</v>
      </c>
      <c r="I670">
        <v>1</v>
      </c>
      <c r="J670" t="str">
        <f t="shared" si="50"/>
        <v>High</v>
      </c>
      <c r="K670" t="str">
        <f t="shared" si="51"/>
        <v>High Risk</v>
      </c>
      <c r="L670">
        <f t="shared" si="52"/>
        <v>1</v>
      </c>
      <c r="M670">
        <f t="shared" si="53"/>
        <v>1</v>
      </c>
      <c r="N670" s="6">
        <f t="shared" si="54"/>
        <v>45671</v>
      </c>
    </row>
    <row r="671" spans="1:14" x14ac:dyDescent="0.3">
      <c r="A671">
        <v>318</v>
      </c>
      <c r="B671">
        <v>10017</v>
      </c>
      <c r="C671" t="s">
        <v>341</v>
      </c>
      <c r="D671" t="s">
        <v>20</v>
      </c>
      <c r="E671" t="s">
        <v>16</v>
      </c>
      <c r="F671" t="s">
        <v>12</v>
      </c>
      <c r="G671" t="s">
        <v>21</v>
      </c>
      <c r="H671">
        <v>93905.74</v>
      </c>
      <c r="I671">
        <v>0</v>
      </c>
      <c r="J671" t="str">
        <f t="shared" si="50"/>
        <v>High</v>
      </c>
      <c r="K671" t="str">
        <f t="shared" si="51"/>
        <v>Normal</v>
      </c>
      <c r="L671">
        <f t="shared" si="52"/>
        <v>1</v>
      </c>
      <c r="M671">
        <f t="shared" si="53"/>
        <v>1</v>
      </c>
      <c r="N671" s="6">
        <f t="shared" si="54"/>
        <v>45671</v>
      </c>
    </row>
    <row r="672" spans="1:14" x14ac:dyDescent="0.3">
      <c r="A672">
        <v>319</v>
      </c>
      <c r="B672">
        <v>10081</v>
      </c>
      <c r="C672" t="s">
        <v>342</v>
      </c>
      <c r="D672" t="s">
        <v>23</v>
      </c>
      <c r="E672" t="s">
        <v>16</v>
      </c>
      <c r="F672" t="s">
        <v>17</v>
      </c>
      <c r="G672" t="s">
        <v>25</v>
      </c>
      <c r="H672">
        <v>45336.09</v>
      </c>
      <c r="I672">
        <v>0</v>
      </c>
      <c r="J672" t="str">
        <f t="shared" si="50"/>
        <v>High</v>
      </c>
      <c r="K672" t="str">
        <f t="shared" si="51"/>
        <v>Normal</v>
      </c>
      <c r="L672">
        <f t="shared" si="52"/>
        <v>1</v>
      </c>
      <c r="M672">
        <f t="shared" si="53"/>
        <v>1</v>
      </c>
      <c r="N672" s="6">
        <f t="shared" si="54"/>
        <v>45671</v>
      </c>
    </row>
    <row r="673" spans="1:14" x14ac:dyDescent="0.3">
      <c r="A673">
        <v>320</v>
      </c>
      <c r="B673">
        <v>10065</v>
      </c>
      <c r="C673" t="s">
        <v>343</v>
      </c>
      <c r="D673" t="s">
        <v>20</v>
      </c>
      <c r="E673" t="s">
        <v>24</v>
      </c>
      <c r="F673" t="s">
        <v>12</v>
      </c>
      <c r="G673" t="s">
        <v>18</v>
      </c>
      <c r="H673">
        <v>19929.259999999998</v>
      </c>
      <c r="I673">
        <v>0</v>
      </c>
      <c r="J673" t="str">
        <f t="shared" si="50"/>
        <v>High</v>
      </c>
      <c r="K673" t="str">
        <f t="shared" si="51"/>
        <v>Normal</v>
      </c>
      <c r="L673">
        <f t="shared" si="52"/>
        <v>1</v>
      </c>
      <c r="M673">
        <f t="shared" si="53"/>
        <v>1</v>
      </c>
      <c r="N673" s="6">
        <f t="shared" si="54"/>
        <v>45671</v>
      </c>
    </row>
    <row r="674" spans="1:14" x14ac:dyDescent="0.3">
      <c r="A674">
        <v>321</v>
      </c>
      <c r="B674">
        <v>10053</v>
      </c>
      <c r="C674" t="s">
        <v>344</v>
      </c>
      <c r="D674" t="s">
        <v>10</v>
      </c>
      <c r="E674" t="s">
        <v>16</v>
      </c>
      <c r="F674" t="s">
        <v>12</v>
      </c>
      <c r="G674" t="s">
        <v>21</v>
      </c>
      <c r="H674">
        <v>16571.990000000002</v>
      </c>
      <c r="I674">
        <v>0</v>
      </c>
      <c r="J674" t="str">
        <f t="shared" si="50"/>
        <v>High</v>
      </c>
      <c r="K674" t="str">
        <f t="shared" si="51"/>
        <v>Normal</v>
      </c>
      <c r="L674">
        <f t="shared" si="52"/>
        <v>1</v>
      </c>
      <c r="M674">
        <f t="shared" si="53"/>
        <v>1</v>
      </c>
      <c r="N674" s="6">
        <f t="shared" si="54"/>
        <v>45671</v>
      </c>
    </row>
    <row r="675" spans="1:14" x14ac:dyDescent="0.3">
      <c r="A675">
        <v>322</v>
      </c>
      <c r="B675">
        <v>10034</v>
      </c>
      <c r="C675" t="s">
        <v>345</v>
      </c>
      <c r="D675" t="s">
        <v>20</v>
      </c>
      <c r="E675" t="s">
        <v>24</v>
      </c>
      <c r="F675" t="s">
        <v>17</v>
      </c>
      <c r="G675" t="s">
        <v>18</v>
      </c>
      <c r="H675">
        <v>24074.94</v>
      </c>
      <c r="I675">
        <v>0</v>
      </c>
      <c r="J675" t="str">
        <f t="shared" si="50"/>
        <v>High</v>
      </c>
      <c r="K675" t="str">
        <f t="shared" si="51"/>
        <v>Normal</v>
      </c>
      <c r="L675">
        <f t="shared" si="52"/>
        <v>1</v>
      </c>
      <c r="M675">
        <f t="shared" si="53"/>
        <v>1</v>
      </c>
      <c r="N675" s="6">
        <f t="shared" si="54"/>
        <v>45671</v>
      </c>
    </row>
    <row r="676" spans="1:14" x14ac:dyDescent="0.3">
      <c r="A676">
        <v>323</v>
      </c>
      <c r="B676">
        <v>10079</v>
      </c>
      <c r="C676" t="s">
        <v>346</v>
      </c>
      <c r="D676" t="s">
        <v>15</v>
      </c>
      <c r="E676" t="s">
        <v>24</v>
      </c>
      <c r="F676" t="s">
        <v>17</v>
      </c>
      <c r="G676" t="s">
        <v>31</v>
      </c>
      <c r="H676">
        <v>71042.25</v>
      </c>
      <c r="I676">
        <v>0</v>
      </c>
      <c r="J676" t="str">
        <f t="shared" si="50"/>
        <v>High</v>
      </c>
      <c r="K676" t="str">
        <f t="shared" si="51"/>
        <v>Normal</v>
      </c>
      <c r="L676">
        <f t="shared" si="52"/>
        <v>1</v>
      </c>
      <c r="M676">
        <f t="shared" si="53"/>
        <v>1</v>
      </c>
      <c r="N676" s="6">
        <f t="shared" si="54"/>
        <v>45671</v>
      </c>
    </row>
    <row r="677" spans="1:14" x14ac:dyDescent="0.3">
      <c r="A677">
        <v>324</v>
      </c>
      <c r="B677">
        <v>10060</v>
      </c>
      <c r="C677" t="s">
        <v>347</v>
      </c>
      <c r="D677" t="s">
        <v>10</v>
      </c>
      <c r="E677" t="s">
        <v>16</v>
      </c>
      <c r="F677" t="s">
        <v>17</v>
      </c>
      <c r="G677" t="s">
        <v>18</v>
      </c>
      <c r="H677">
        <v>27367.7</v>
      </c>
      <c r="I677">
        <v>0</v>
      </c>
      <c r="J677" t="str">
        <f t="shared" si="50"/>
        <v>High</v>
      </c>
      <c r="K677" t="str">
        <f t="shared" si="51"/>
        <v>Normal</v>
      </c>
      <c r="L677">
        <f t="shared" si="52"/>
        <v>1</v>
      </c>
      <c r="M677">
        <f t="shared" si="53"/>
        <v>1</v>
      </c>
      <c r="N677" s="6">
        <f t="shared" si="54"/>
        <v>45671</v>
      </c>
    </row>
    <row r="678" spans="1:14" x14ac:dyDescent="0.3">
      <c r="A678">
        <v>325</v>
      </c>
      <c r="B678">
        <v>10040</v>
      </c>
      <c r="C678" t="s">
        <v>348</v>
      </c>
      <c r="D678" t="s">
        <v>23</v>
      </c>
      <c r="E678" t="s">
        <v>24</v>
      </c>
      <c r="F678" t="s">
        <v>17</v>
      </c>
      <c r="G678" t="s">
        <v>13</v>
      </c>
      <c r="H678">
        <v>34208.379999999997</v>
      </c>
      <c r="I678">
        <v>0</v>
      </c>
      <c r="J678" t="str">
        <f t="shared" si="50"/>
        <v>High</v>
      </c>
      <c r="K678" t="str">
        <f t="shared" si="51"/>
        <v>Normal</v>
      </c>
      <c r="L678">
        <f t="shared" si="52"/>
        <v>1</v>
      </c>
      <c r="M678">
        <f t="shared" si="53"/>
        <v>1</v>
      </c>
      <c r="N678" s="6">
        <f t="shared" si="54"/>
        <v>45671</v>
      </c>
    </row>
    <row r="679" spans="1:14" x14ac:dyDescent="0.3">
      <c r="A679">
        <v>326</v>
      </c>
      <c r="B679">
        <v>10099</v>
      </c>
      <c r="C679" t="s">
        <v>349</v>
      </c>
      <c r="D679" t="s">
        <v>15</v>
      </c>
      <c r="E679" t="s">
        <v>16</v>
      </c>
      <c r="F679" t="s">
        <v>17</v>
      </c>
      <c r="G679" t="s">
        <v>13</v>
      </c>
      <c r="H679">
        <v>44933</v>
      </c>
      <c r="I679">
        <v>0</v>
      </c>
      <c r="J679" t="str">
        <f t="shared" si="50"/>
        <v>High</v>
      </c>
      <c r="K679" t="str">
        <f t="shared" si="51"/>
        <v>Normal</v>
      </c>
      <c r="L679">
        <f t="shared" si="52"/>
        <v>1</v>
      </c>
      <c r="M679">
        <f t="shared" si="53"/>
        <v>1</v>
      </c>
      <c r="N679" s="6">
        <f t="shared" si="54"/>
        <v>45671</v>
      </c>
    </row>
    <row r="680" spans="1:14" x14ac:dyDescent="0.3">
      <c r="A680">
        <v>327</v>
      </c>
      <c r="B680">
        <v>10032</v>
      </c>
      <c r="C680" t="s">
        <v>350</v>
      </c>
      <c r="D680" t="s">
        <v>10</v>
      </c>
      <c r="E680" t="s">
        <v>24</v>
      </c>
      <c r="F680" t="s">
        <v>17</v>
      </c>
      <c r="G680" t="s">
        <v>18</v>
      </c>
      <c r="H680">
        <v>91331.94</v>
      </c>
      <c r="I680">
        <v>0</v>
      </c>
      <c r="J680" t="str">
        <f t="shared" si="50"/>
        <v>High</v>
      </c>
      <c r="K680" t="str">
        <f t="shared" si="51"/>
        <v>Normal</v>
      </c>
      <c r="L680">
        <f t="shared" si="52"/>
        <v>1</v>
      </c>
      <c r="M680">
        <f t="shared" si="53"/>
        <v>1</v>
      </c>
      <c r="N680" s="6">
        <f t="shared" si="54"/>
        <v>45671</v>
      </c>
    </row>
    <row r="681" spans="1:14" x14ac:dyDescent="0.3">
      <c r="A681">
        <v>328</v>
      </c>
      <c r="B681">
        <v>10067</v>
      </c>
      <c r="C681" t="s">
        <v>351</v>
      </c>
      <c r="D681" t="s">
        <v>23</v>
      </c>
      <c r="E681" t="s">
        <v>16</v>
      </c>
      <c r="F681" t="s">
        <v>12</v>
      </c>
      <c r="G681" t="s">
        <v>13</v>
      </c>
      <c r="H681">
        <v>19020.400000000001</v>
      </c>
      <c r="I681">
        <v>0</v>
      </c>
      <c r="J681" t="str">
        <f t="shared" si="50"/>
        <v>High</v>
      </c>
      <c r="K681" t="str">
        <f t="shared" si="51"/>
        <v>Normal</v>
      </c>
      <c r="L681">
        <f t="shared" si="52"/>
        <v>1</v>
      </c>
      <c r="M681">
        <f t="shared" si="53"/>
        <v>1</v>
      </c>
      <c r="N681" s="6">
        <f t="shared" si="54"/>
        <v>45671</v>
      </c>
    </row>
    <row r="682" spans="1:14" x14ac:dyDescent="0.3">
      <c r="A682">
        <v>329</v>
      </c>
      <c r="B682">
        <v>10032</v>
      </c>
      <c r="C682" t="s">
        <v>352</v>
      </c>
      <c r="D682" t="s">
        <v>15</v>
      </c>
      <c r="E682" t="s">
        <v>16</v>
      </c>
      <c r="F682" t="s">
        <v>12</v>
      </c>
      <c r="G682" t="s">
        <v>31</v>
      </c>
      <c r="H682">
        <v>602.15</v>
      </c>
      <c r="I682">
        <v>0</v>
      </c>
      <c r="J682" t="str">
        <f t="shared" si="50"/>
        <v>High</v>
      </c>
      <c r="K682" t="str">
        <f t="shared" si="51"/>
        <v>Normal</v>
      </c>
      <c r="L682">
        <f t="shared" si="52"/>
        <v>1</v>
      </c>
      <c r="M682">
        <f t="shared" si="53"/>
        <v>1</v>
      </c>
      <c r="N682" s="6">
        <f t="shared" si="54"/>
        <v>45671</v>
      </c>
    </row>
    <row r="683" spans="1:14" x14ac:dyDescent="0.3">
      <c r="A683">
        <v>330</v>
      </c>
      <c r="B683">
        <v>10013</v>
      </c>
      <c r="C683" t="s">
        <v>353</v>
      </c>
      <c r="D683" t="s">
        <v>15</v>
      </c>
      <c r="E683" t="s">
        <v>24</v>
      </c>
      <c r="F683" t="s">
        <v>17</v>
      </c>
      <c r="G683" t="s">
        <v>25</v>
      </c>
      <c r="H683">
        <v>6103.63</v>
      </c>
      <c r="I683">
        <v>0</v>
      </c>
      <c r="J683" t="str">
        <f t="shared" si="50"/>
        <v>High</v>
      </c>
      <c r="K683" t="str">
        <f t="shared" si="51"/>
        <v>Normal</v>
      </c>
      <c r="L683">
        <f t="shared" si="52"/>
        <v>1</v>
      </c>
      <c r="M683">
        <f t="shared" si="53"/>
        <v>1</v>
      </c>
      <c r="N683" s="6">
        <f t="shared" si="54"/>
        <v>45671</v>
      </c>
    </row>
    <row r="684" spans="1:14" x14ac:dyDescent="0.3">
      <c r="A684">
        <v>331</v>
      </c>
      <c r="B684">
        <v>10020</v>
      </c>
      <c r="C684" t="s">
        <v>354</v>
      </c>
      <c r="D684" t="s">
        <v>10</v>
      </c>
      <c r="E684" t="s">
        <v>11</v>
      </c>
      <c r="F684" t="s">
        <v>12</v>
      </c>
      <c r="G684" t="s">
        <v>13</v>
      </c>
      <c r="H684">
        <v>90486.16</v>
      </c>
      <c r="I684">
        <v>1</v>
      </c>
      <c r="J684" t="str">
        <f t="shared" si="50"/>
        <v>High</v>
      </c>
      <c r="K684" t="str">
        <f t="shared" si="51"/>
        <v>High Risk</v>
      </c>
      <c r="L684">
        <f t="shared" si="52"/>
        <v>1</v>
      </c>
      <c r="M684">
        <f t="shared" si="53"/>
        <v>1</v>
      </c>
      <c r="N684" s="6">
        <f t="shared" si="54"/>
        <v>45671</v>
      </c>
    </row>
    <row r="685" spans="1:14" x14ac:dyDescent="0.3">
      <c r="A685">
        <v>332</v>
      </c>
      <c r="B685">
        <v>10047</v>
      </c>
      <c r="C685" t="s">
        <v>355</v>
      </c>
      <c r="D685" t="s">
        <v>29</v>
      </c>
      <c r="E685" t="s">
        <v>24</v>
      </c>
      <c r="F685" t="s">
        <v>17</v>
      </c>
      <c r="G685" t="s">
        <v>13</v>
      </c>
      <c r="H685">
        <v>64786.89</v>
      </c>
      <c r="I685">
        <v>0</v>
      </c>
      <c r="J685" t="str">
        <f t="shared" si="50"/>
        <v>High</v>
      </c>
      <c r="K685" t="str">
        <f t="shared" si="51"/>
        <v>Normal</v>
      </c>
      <c r="L685">
        <f t="shared" si="52"/>
        <v>1</v>
      </c>
      <c r="M685">
        <f t="shared" si="53"/>
        <v>1</v>
      </c>
      <c r="N685" s="6">
        <f t="shared" si="54"/>
        <v>45671</v>
      </c>
    </row>
    <row r="686" spans="1:14" x14ac:dyDescent="0.3">
      <c r="A686">
        <v>333</v>
      </c>
      <c r="B686">
        <v>10019</v>
      </c>
      <c r="C686" t="s">
        <v>356</v>
      </c>
      <c r="D686" t="s">
        <v>15</v>
      </c>
      <c r="E686" t="s">
        <v>16</v>
      </c>
      <c r="F686" t="s">
        <v>12</v>
      </c>
      <c r="G686" t="s">
        <v>18</v>
      </c>
      <c r="H686">
        <v>27376.76</v>
      </c>
      <c r="I686">
        <v>0</v>
      </c>
      <c r="J686" t="str">
        <f t="shared" si="50"/>
        <v>High</v>
      </c>
      <c r="K686" t="str">
        <f t="shared" si="51"/>
        <v>Normal</v>
      </c>
      <c r="L686">
        <f t="shared" si="52"/>
        <v>1</v>
      </c>
      <c r="M686">
        <f t="shared" si="53"/>
        <v>1</v>
      </c>
      <c r="N686" s="6">
        <f t="shared" si="54"/>
        <v>45671</v>
      </c>
    </row>
    <row r="687" spans="1:14" x14ac:dyDescent="0.3">
      <c r="A687">
        <v>334</v>
      </c>
      <c r="B687">
        <v>10007</v>
      </c>
      <c r="C687" t="s">
        <v>357</v>
      </c>
      <c r="D687" t="s">
        <v>15</v>
      </c>
      <c r="E687" t="s">
        <v>11</v>
      </c>
      <c r="F687" t="s">
        <v>12</v>
      </c>
      <c r="G687" t="s">
        <v>31</v>
      </c>
      <c r="H687">
        <v>17801.53</v>
      </c>
      <c r="I687">
        <v>0</v>
      </c>
      <c r="J687" t="str">
        <f t="shared" si="50"/>
        <v>High</v>
      </c>
      <c r="K687" t="str">
        <f t="shared" si="51"/>
        <v>Normal</v>
      </c>
      <c r="L687">
        <f t="shared" si="52"/>
        <v>1</v>
      </c>
      <c r="M687">
        <f t="shared" si="53"/>
        <v>1</v>
      </c>
      <c r="N687" s="6">
        <f t="shared" si="54"/>
        <v>45671</v>
      </c>
    </row>
    <row r="688" spans="1:14" x14ac:dyDescent="0.3">
      <c r="A688">
        <v>335</v>
      </c>
      <c r="B688">
        <v>10006</v>
      </c>
      <c r="C688" t="s">
        <v>358</v>
      </c>
      <c r="D688" t="s">
        <v>23</v>
      </c>
      <c r="E688" t="s">
        <v>24</v>
      </c>
      <c r="F688" t="s">
        <v>17</v>
      </c>
      <c r="G688" t="s">
        <v>25</v>
      </c>
      <c r="H688">
        <v>29497.25</v>
      </c>
      <c r="I688">
        <v>0</v>
      </c>
      <c r="J688" t="str">
        <f t="shared" si="50"/>
        <v>High</v>
      </c>
      <c r="K688" t="str">
        <f t="shared" si="51"/>
        <v>Normal</v>
      </c>
      <c r="L688">
        <f t="shared" si="52"/>
        <v>1</v>
      </c>
      <c r="M688">
        <f t="shared" si="53"/>
        <v>1</v>
      </c>
      <c r="N688" s="6">
        <f t="shared" si="54"/>
        <v>45671</v>
      </c>
    </row>
    <row r="689" spans="1:14" x14ac:dyDescent="0.3">
      <c r="A689">
        <v>336</v>
      </c>
      <c r="B689">
        <v>10066</v>
      </c>
      <c r="C689" t="s">
        <v>359</v>
      </c>
      <c r="D689" t="s">
        <v>20</v>
      </c>
      <c r="E689" t="s">
        <v>24</v>
      </c>
      <c r="F689" t="s">
        <v>17</v>
      </c>
      <c r="G689" t="s">
        <v>18</v>
      </c>
      <c r="H689">
        <v>11568.21</v>
      </c>
      <c r="I689">
        <v>0</v>
      </c>
      <c r="J689" t="str">
        <f t="shared" si="50"/>
        <v>High</v>
      </c>
      <c r="K689" t="str">
        <f t="shared" si="51"/>
        <v>Normal</v>
      </c>
      <c r="L689">
        <f t="shared" si="52"/>
        <v>1</v>
      </c>
      <c r="M689">
        <f t="shared" si="53"/>
        <v>1</v>
      </c>
      <c r="N689" s="6">
        <f t="shared" si="54"/>
        <v>45671</v>
      </c>
    </row>
    <row r="690" spans="1:14" x14ac:dyDescent="0.3">
      <c r="A690">
        <v>289</v>
      </c>
      <c r="B690">
        <v>10059</v>
      </c>
      <c r="C690" t="s">
        <v>312</v>
      </c>
      <c r="D690" t="s">
        <v>20</v>
      </c>
      <c r="E690" t="s">
        <v>16</v>
      </c>
      <c r="F690" t="s">
        <v>12</v>
      </c>
      <c r="G690" t="s">
        <v>21</v>
      </c>
      <c r="H690">
        <v>29322.39</v>
      </c>
      <c r="I690">
        <v>0</v>
      </c>
      <c r="J690" t="str">
        <f t="shared" si="50"/>
        <v>High</v>
      </c>
      <c r="K690" t="str">
        <f t="shared" si="51"/>
        <v>Normal</v>
      </c>
      <c r="L690">
        <f t="shared" si="52"/>
        <v>1</v>
      </c>
      <c r="M690">
        <f t="shared" si="53"/>
        <v>1</v>
      </c>
      <c r="N690" s="6">
        <f t="shared" si="54"/>
        <v>45670</v>
      </c>
    </row>
    <row r="691" spans="1:14" x14ac:dyDescent="0.3">
      <c r="A691">
        <v>290</v>
      </c>
      <c r="B691">
        <v>10001</v>
      </c>
      <c r="C691" t="s">
        <v>313</v>
      </c>
      <c r="D691" t="s">
        <v>29</v>
      </c>
      <c r="E691" t="s">
        <v>24</v>
      </c>
      <c r="F691" t="s">
        <v>12</v>
      </c>
      <c r="G691" t="s">
        <v>13</v>
      </c>
      <c r="H691">
        <v>33287.339999999997</v>
      </c>
      <c r="I691">
        <v>0</v>
      </c>
      <c r="J691" t="str">
        <f t="shared" si="50"/>
        <v>High</v>
      </c>
      <c r="K691" t="str">
        <f t="shared" si="51"/>
        <v>Normal</v>
      </c>
      <c r="L691">
        <f t="shared" si="52"/>
        <v>1</v>
      </c>
      <c r="M691">
        <f t="shared" si="53"/>
        <v>1</v>
      </c>
      <c r="N691" s="6">
        <f t="shared" si="54"/>
        <v>45670</v>
      </c>
    </row>
    <row r="692" spans="1:14" x14ac:dyDescent="0.3">
      <c r="A692">
        <v>291</v>
      </c>
      <c r="B692">
        <v>10000</v>
      </c>
      <c r="C692" t="s">
        <v>314</v>
      </c>
      <c r="D692" t="s">
        <v>29</v>
      </c>
      <c r="E692" t="s">
        <v>11</v>
      </c>
      <c r="F692" t="s">
        <v>12</v>
      </c>
      <c r="G692" t="s">
        <v>25</v>
      </c>
      <c r="H692">
        <v>29448.21</v>
      </c>
      <c r="I692">
        <v>0</v>
      </c>
      <c r="J692" t="str">
        <f t="shared" si="50"/>
        <v>High</v>
      </c>
      <c r="K692" t="str">
        <f t="shared" si="51"/>
        <v>Normal</v>
      </c>
      <c r="L692">
        <f t="shared" si="52"/>
        <v>1</v>
      </c>
      <c r="M692">
        <f t="shared" si="53"/>
        <v>1</v>
      </c>
      <c r="N692" s="6">
        <f t="shared" si="54"/>
        <v>45670</v>
      </c>
    </row>
    <row r="693" spans="1:14" x14ac:dyDescent="0.3">
      <c r="A693">
        <v>292</v>
      </c>
      <c r="B693">
        <v>10047</v>
      </c>
      <c r="C693" t="s">
        <v>315</v>
      </c>
      <c r="D693" t="s">
        <v>10</v>
      </c>
      <c r="E693" t="s">
        <v>11</v>
      </c>
      <c r="F693" t="s">
        <v>12</v>
      </c>
      <c r="G693" t="s">
        <v>21</v>
      </c>
      <c r="H693">
        <v>4245.7700000000004</v>
      </c>
      <c r="I693">
        <v>0</v>
      </c>
      <c r="J693" t="str">
        <f t="shared" si="50"/>
        <v>High</v>
      </c>
      <c r="K693" t="str">
        <f t="shared" si="51"/>
        <v>Normal</v>
      </c>
      <c r="L693">
        <f t="shared" si="52"/>
        <v>1</v>
      </c>
      <c r="M693">
        <f t="shared" si="53"/>
        <v>1</v>
      </c>
      <c r="N693" s="6">
        <f t="shared" si="54"/>
        <v>45670</v>
      </c>
    </row>
    <row r="694" spans="1:14" x14ac:dyDescent="0.3">
      <c r="A694">
        <v>293</v>
      </c>
      <c r="B694">
        <v>10011</v>
      </c>
      <c r="C694" t="s">
        <v>316</v>
      </c>
      <c r="D694" t="s">
        <v>10</v>
      </c>
      <c r="E694" t="s">
        <v>11</v>
      </c>
      <c r="F694" t="s">
        <v>12</v>
      </c>
      <c r="G694" t="s">
        <v>25</v>
      </c>
      <c r="H694">
        <v>63745.760000000002</v>
      </c>
      <c r="I694">
        <v>1</v>
      </c>
      <c r="J694" t="str">
        <f t="shared" si="50"/>
        <v>High</v>
      </c>
      <c r="K694" t="str">
        <f t="shared" si="51"/>
        <v>High Risk</v>
      </c>
      <c r="L694">
        <f t="shared" si="52"/>
        <v>1</v>
      </c>
      <c r="M694">
        <f t="shared" si="53"/>
        <v>1</v>
      </c>
      <c r="N694" s="6">
        <f t="shared" si="54"/>
        <v>45670</v>
      </c>
    </row>
    <row r="695" spans="1:14" x14ac:dyDescent="0.3">
      <c r="A695">
        <v>294</v>
      </c>
      <c r="B695">
        <v>10068</v>
      </c>
      <c r="C695" t="s">
        <v>317</v>
      </c>
      <c r="D695" t="s">
        <v>15</v>
      </c>
      <c r="E695" t="s">
        <v>24</v>
      </c>
      <c r="F695" t="s">
        <v>17</v>
      </c>
      <c r="G695" t="s">
        <v>18</v>
      </c>
      <c r="H695">
        <v>59769.51</v>
      </c>
      <c r="I695">
        <v>0</v>
      </c>
      <c r="J695" t="str">
        <f t="shared" si="50"/>
        <v>High</v>
      </c>
      <c r="K695" t="str">
        <f t="shared" si="51"/>
        <v>Normal</v>
      </c>
      <c r="L695">
        <f t="shared" si="52"/>
        <v>1</v>
      </c>
      <c r="M695">
        <f t="shared" si="53"/>
        <v>1</v>
      </c>
      <c r="N695" s="6">
        <f t="shared" si="54"/>
        <v>45670</v>
      </c>
    </row>
    <row r="696" spans="1:14" x14ac:dyDescent="0.3">
      <c r="A696">
        <v>295</v>
      </c>
      <c r="B696">
        <v>10036</v>
      </c>
      <c r="C696" t="s">
        <v>318</v>
      </c>
      <c r="D696" t="s">
        <v>29</v>
      </c>
      <c r="E696" t="s">
        <v>11</v>
      </c>
      <c r="F696" t="s">
        <v>17</v>
      </c>
      <c r="G696" t="s">
        <v>31</v>
      </c>
      <c r="H696">
        <v>65373.01</v>
      </c>
      <c r="I696">
        <v>1</v>
      </c>
      <c r="J696" t="str">
        <f t="shared" si="50"/>
        <v>High</v>
      </c>
      <c r="K696" t="str">
        <f t="shared" si="51"/>
        <v>High Risk</v>
      </c>
      <c r="L696">
        <f t="shared" si="52"/>
        <v>1</v>
      </c>
      <c r="M696">
        <f t="shared" si="53"/>
        <v>1</v>
      </c>
      <c r="N696" s="6">
        <f t="shared" si="54"/>
        <v>45670</v>
      </c>
    </row>
    <row r="697" spans="1:14" x14ac:dyDescent="0.3">
      <c r="A697">
        <v>296</v>
      </c>
      <c r="B697">
        <v>10031</v>
      </c>
      <c r="C697" t="s">
        <v>319</v>
      </c>
      <c r="D697" t="s">
        <v>23</v>
      </c>
      <c r="E697" t="s">
        <v>24</v>
      </c>
      <c r="F697" t="s">
        <v>12</v>
      </c>
      <c r="G697" t="s">
        <v>18</v>
      </c>
      <c r="H697">
        <v>19311.759999999998</v>
      </c>
      <c r="I697">
        <v>0</v>
      </c>
      <c r="J697" t="str">
        <f t="shared" si="50"/>
        <v>High</v>
      </c>
      <c r="K697" t="str">
        <f t="shared" si="51"/>
        <v>Normal</v>
      </c>
      <c r="L697">
        <f t="shared" si="52"/>
        <v>1</v>
      </c>
      <c r="M697">
        <f t="shared" si="53"/>
        <v>1</v>
      </c>
      <c r="N697" s="6">
        <f t="shared" si="54"/>
        <v>45670</v>
      </c>
    </row>
    <row r="698" spans="1:14" x14ac:dyDescent="0.3">
      <c r="A698">
        <v>297</v>
      </c>
      <c r="B698">
        <v>10008</v>
      </c>
      <c r="C698" t="s">
        <v>320</v>
      </c>
      <c r="D698" t="s">
        <v>29</v>
      </c>
      <c r="E698" t="s">
        <v>24</v>
      </c>
      <c r="F698" t="s">
        <v>12</v>
      </c>
      <c r="G698" t="s">
        <v>31</v>
      </c>
      <c r="H698">
        <v>29635.89</v>
      </c>
      <c r="I698">
        <v>0</v>
      </c>
      <c r="J698" t="str">
        <f t="shared" si="50"/>
        <v>High</v>
      </c>
      <c r="K698" t="str">
        <f t="shared" si="51"/>
        <v>Normal</v>
      </c>
      <c r="L698">
        <f t="shared" si="52"/>
        <v>1</v>
      </c>
      <c r="M698">
        <f t="shared" si="53"/>
        <v>1</v>
      </c>
      <c r="N698" s="6">
        <f t="shared" si="54"/>
        <v>45670</v>
      </c>
    </row>
    <row r="699" spans="1:14" x14ac:dyDescent="0.3">
      <c r="A699">
        <v>298</v>
      </c>
      <c r="B699">
        <v>10098</v>
      </c>
      <c r="C699" t="s">
        <v>321</v>
      </c>
      <c r="D699" t="s">
        <v>23</v>
      </c>
      <c r="E699" t="s">
        <v>24</v>
      </c>
      <c r="F699" t="s">
        <v>12</v>
      </c>
      <c r="G699" t="s">
        <v>18</v>
      </c>
      <c r="H699">
        <v>61999.63</v>
      </c>
      <c r="I699">
        <v>0</v>
      </c>
      <c r="J699" t="str">
        <f t="shared" si="50"/>
        <v>High</v>
      </c>
      <c r="K699" t="str">
        <f t="shared" si="51"/>
        <v>Normal</v>
      </c>
      <c r="L699">
        <f t="shared" si="52"/>
        <v>1</v>
      </c>
      <c r="M699">
        <f t="shared" si="53"/>
        <v>1</v>
      </c>
      <c r="N699" s="6">
        <f t="shared" si="54"/>
        <v>45670</v>
      </c>
    </row>
    <row r="700" spans="1:14" x14ac:dyDescent="0.3">
      <c r="A700">
        <v>299</v>
      </c>
      <c r="B700">
        <v>10018</v>
      </c>
      <c r="C700" t="s">
        <v>322</v>
      </c>
      <c r="D700" t="s">
        <v>20</v>
      </c>
      <c r="E700" t="s">
        <v>16</v>
      </c>
      <c r="F700" t="s">
        <v>12</v>
      </c>
      <c r="G700" t="s">
        <v>13</v>
      </c>
      <c r="H700">
        <v>60002.79</v>
      </c>
      <c r="I700">
        <v>0</v>
      </c>
      <c r="J700" t="str">
        <f t="shared" si="50"/>
        <v>High</v>
      </c>
      <c r="K700" t="str">
        <f t="shared" si="51"/>
        <v>Normal</v>
      </c>
      <c r="L700">
        <f t="shared" si="52"/>
        <v>1</v>
      </c>
      <c r="M700">
        <f t="shared" si="53"/>
        <v>1</v>
      </c>
      <c r="N700" s="6">
        <f t="shared" si="54"/>
        <v>45670</v>
      </c>
    </row>
    <row r="701" spans="1:14" x14ac:dyDescent="0.3">
      <c r="A701">
        <v>300</v>
      </c>
      <c r="B701">
        <v>10047</v>
      </c>
      <c r="C701" t="s">
        <v>323</v>
      </c>
      <c r="D701" t="s">
        <v>29</v>
      </c>
      <c r="E701" t="s">
        <v>11</v>
      </c>
      <c r="F701" t="s">
        <v>12</v>
      </c>
      <c r="G701" t="s">
        <v>25</v>
      </c>
      <c r="H701">
        <v>50682.400000000001</v>
      </c>
      <c r="I701">
        <v>1</v>
      </c>
      <c r="J701" t="str">
        <f t="shared" si="50"/>
        <v>High</v>
      </c>
      <c r="K701" t="str">
        <f t="shared" si="51"/>
        <v>High Risk</v>
      </c>
      <c r="L701">
        <f t="shared" si="52"/>
        <v>1</v>
      </c>
      <c r="M701">
        <f t="shared" si="53"/>
        <v>1</v>
      </c>
      <c r="N701" s="6">
        <f t="shared" si="54"/>
        <v>45670</v>
      </c>
    </row>
    <row r="702" spans="1:14" x14ac:dyDescent="0.3">
      <c r="A702">
        <v>301</v>
      </c>
      <c r="B702">
        <v>10079</v>
      </c>
      <c r="C702" t="s">
        <v>324</v>
      </c>
      <c r="D702" t="s">
        <v>20</v>
      </c>
      <c r="E702" t="s">
        <v>11</v>
      </c>
      <c r="F702" t="s">
        <v>17</v>
      </c>
      <c r="G702" t="s">
        <v>31</v>
      </c>
      <c r="H702">
        <v>35106.28</v>
      </c>
      <c r="I702">
        <v>0</v>
      </c>
      <c r="J702" t="str">
        <f t="shared" si="50"/>
        <v>High</v>
      </c>
      <c r="K702" t="str">
        <f t="shared" si="51"/>
        <v>Normal</v>
      </c>
      <c r="L702">
        <f t="shared" si="52"/>
        <v>1</v>
      </c>
      <c r="M702">
        <f t="shared" si="53"/>
        <v>1</v>
      </c>
      <c r="N702" s="6">
        <f t="shared" si="54"/>
        <v>45670</v>
      </c>
    </row>
    <row r="703" spans="1:14" x14ac:dyDescent="0.3">
      <c r="A703">
        <v>302</v>
      </c>
      <c r="B703">
        <v>10002</v>
      </c>
      <c r="C703" t="s">
        <v>325</v>
      </c>
      <c r="D703" t="s">
        <v>10</v>
      </c>
      <c r="E703" t="s">
        <v>24</v>
      </c>
      <c r="F703" t="s">
        <v>17</v>
      </c>
      <c r="G703" t="s">
        <v>21</v>
      </c>
      <c r="H703">
        <v>91301.81</v>
      </c>
      <c r="I703">
        <v>0</v>
      </c>
      <c r="J703" t="str">
        <f t="shared" si="50"/>
        <v>High</v>
      </c>
      <c r="K703" t="str">
        <f t="shared" si="51"/>
        <v>Normal</v>
      </c>
      <c r="L703">
        <f t="shared" si="52"/>
        <v>1</v>
      </c>
      <c r="M703">
        <f t="shared" si="53"/>
        <v>1</v>
      </c>
      <c r="N703" s="6">
        <f t="shared" si="54"/>
        <v>45670</v>
      </c>
    </row>
    <row r="704" spans="1:14" x14ac:dyDescent="0.3">
      <c r="A704">
        <v>303</v>
      </c>
      <c r="B704">
        <v>10019</v>
      </c>
      <c r="C704" t="s">
        <v>326</v>
      </c>
      <c r="D704" t="s">
        <v>10</v>
      </c>
      <c r="E704" t="s">
        <v>24</v>
      </c>
      <c r="F704" t="s">
        <v>17</v>
      </c>
      <c r="G704" t="s">
        <v>25</v>
      </c>
      <c r="H704">
        <v>34043.050000000003</v>
      </c>
      <c r="I704">
        <v>0</v>
      </c>
      <c r="J704" t="str">
        <f t="shared" si="50"/>
        <v>High</v>
      </c>
      <c r="K704" t="str">
        <f t="shared" si="51"/>
        <v>Normal</v>
      </c>
      <c r="L704">
        <f t="shared" si="52"/>
        <v>1</v>
      </c>
      <c r="M704">
        <f t="shared" si="53"/>
        <v>1</v>
      </c>
      <c r="N704" s="6">
        <f t="shared" si="54"/>
        <v>45670</v>
      </c>
    </row>
    <row r="705" spans="1:14" x14ac:dyDescent="0.3">
      <c r="A705">
        <v>304</v>
      </c>
      <c r="B705">
        <v>10023</v>
      </c>
      <c r="C705" t="s">
        <v>327</v>
      </c>
      <c r="D705" t="s">
        <v>15</v>
      </c>
      <c r="E705" t="s">
        <v>11</v>
      </c>
      <c r="F705" t="s">
        <v>17</v>
      </c>
      <c r="G705" t="s">
        <v>21</v>
      </c>
      <c r="H705">
        <v>45616.35</v>
      </c>
      <c r="I705">
        <v>0</v>
      </c>
      <c r="J705" t="str">
        <f t="shared" si="50"/>
        <v>High</v>
      </c>
      <c r="K705" t="str">
        <f t="shared" si="51"/>
        <v>Normal</v>
      </c>
      <c r="L705">
        <f t="shared" si="52"/>
        <v>1</v>
      </c>
      <c r="M705">
        <f t="shared" si="53"/>
        <v>1</v>
      </c>
      <c r="N705" s="6">
        <f t="shared" si="54"/>
        <v>45670</v>
      </c>
    </row>
    <row r="706" spans="1:14" x14ac:dyDescent="0.3">
      <c r="A706">
        <v>305</v>
      </c>
      <c r="B706">
        <v>10053</v>
      </c>
      <c r="C706" t="s">
        <v>328</v>
      </c>
      <c r="D706" t="s">
        <v>29</v>
      </c>
      <c r="E706" t="s">
        <v>24</v>
      </c>
      <c r="F706" t="s">
        <v>12</v>
      </c>
      <c r="G706" t="s">
        <v>25</v>
      </c>
      <c r="H706">
        <v>67843.570000000007</v>
      </c>
      <c r="I706">
        <v>0</v>
      </c>
      <c r="J706" t="str">
        <f t="shared" ref="J706:J769" si="55">IF(E706&gt;50000,"High","Normal")</f>
        <v>High</v>
      </c>
      <c r="K706" t="str">
        <f t="shared" ref="K706:K769" si="56">IF(AND(H706&gt;50000,E706="Online"),"High Risk","Normal")</f>
        <v>Normal</v>
      </c>
      <c r="L706">
        <f t="shared" ref="L706:L769" si="57">COUNTIFS(C:C,C706,B:B,B706)</f>
        <v>1</v>
      </c>
      <c r="M706">
        <f t="shared" ref="M706:M769" si="58">IF(E706&gt;50000,1,0) + IF(H706="Unusual",1,0) + IF(I706&gt;3,1,0)</f>
        <v>1</v>
      </c>
      <c r="N706" s="6">
        <f t="shared" ref="N706:N769" si="59">INT(C706)</f>
        <v>45670</v>
      </c>
    </row>
    <row r="707" spans="1:14" x14ac:dyDescent="0.3">
      <c r="A707">
        <v>306</v>
      </c>
      <c r="B707">
        <v>10032</v>
      </c>
      <c r="C707" t="s">
        <v>329</v>
      </c>
      <c r="D707" t="s">
        <v>20</v>
      </c>
      <c r="E707" t="s">
        <v>11</v>
      </c>
      <c r="F707" t="s">
        <v>17</v>
      </c>
      <c r="G707" t="s">
        <v>25</v>
      </c>
      <c r="H707">
        <v>54347.839999999997</v>
      </c>
      <c r="I707">
        <v>1</v>
      </c>
      <c r="J707" t="str">
        <f t="shared" si="55"/>
        <v>High</v>
      </c>
      <c r="K707" t="str">
        <f t="shared" si="56"/>
        <v>High Risk</v>
      </c>
      <c r="L707">
        <f t="shared" si="57"/>
        <v>1</v>
      </c>
      <c r="M707">
        <f t="shared" si="58"/>
        <v>1</v>
      </c>
      <c r="N707" s="6">
        <f t="shared" si="59"/>
        <v>45670</v>
      </c>
    </row>
    <row r="708" spans="1:14" x14ac:dyDescent="0.3">
      <c r="A708">
        <v>307</v>
      </c>
      <c r="B708">
        <v>10023</v>
      </c>
      <c r="C708" t="s">
        <v>330</v>
      </c>
      <c r="D708" t="s">
        <v>23</v>
      </c>
      <c r="E708" t="s">
        <v>16</v>
      </c>
      <c r="F708" t="s">
        <v>12</v>
      </c>
      <c r="G708" t="s">
        <v>18</v>
      </c>
      <c r="H708">
        <v>34753.910000000003</v>
      </c>
      <c r="I708">
        <v>0</v>
      </c>
      <c r="J708" t="str">
        <f t="shared" si="55"/>
        <v>High</v>
      </c>
      <c r="K708" t="str">
        <f t="shared" si="56"/>
        <v>Normal</v>
      </c>
      <c r="L708">
        <f t="shared" si="57"/>
        <v>1</v>
      </c>
      <c r="M708">
        <f t="shared" si="58"/>
        <v>1</v>
      </c>
      <c r="N708" s="6">
        <f t="shared" si="59"/>
        <v>45670</v>
      </c>
    </row>
    <row r="709" spans="1:14" x14ac:dyDescent="0.3">
      <c r="A709">
        <v>308</v>
      </c>
      <c r="B709">
        <v>10074</v>
      </c>
      <c r="C709" t="s">
        <v>331</v>
      </c>
      <c r="D709" t="s">
        <v>10</v>
      </c>
      <c r="E709" t="s">
        <v>24</v>
      </c>
      <c r="F709" t="s">
        <v>12</v>
      </c>
      <c r="G709" t="s">
        <v>31</v>
      </c>
      <c r="H709">
        <v>43620.91</v>
      </c>
      <c r="I709">
        <v>0</v>
      </c>
      <c r="J709" t="str">
        <f t="shared" si="55"/>
        <v>High</v>
      </c>
      <c r="K709" t="str">
        <f t="shared" si="56"/>
        <v>Normal</v>
      </c>
      <c r="L709">
        <f t="shared" si="57"/>
        <v>1</v>
      </c>
      <c r="M709">
        <f t="shared" si="58"/>
        <v>1</v>
      </c>
      <c r="N709" s="6">
        <f t="shared" si="59"/>
        <v>45670</v>
      </c>
    </row>
    <row r="710" spans="1:14" x14ac:dyDescent="0.3">
      <c r="A710">
        <v>309</v>
      </c>
      <c r="B710">
        <v>10071</v>
      </c>
      <c r="C710" t="s">
        <v>332</v>
      </c>
      <c r="D710" t="s">
        <v>10</v>
      </c>
      <c r="E710" t="s">
        <v>11</v>
      </c>
      <c r="F710" t="s">
        <v>12</v>
      </c>
      <c r="G710" t="s">
        <v>31</v>
      </c>
      <c r="H710">
        <v>79468.63</v>
      </c>
      <c r="I710">
        <v>1</v>
      </c>
      <c r="J710" t="str">
        <f t="shared" si="55"/>
        <v>High</v>
      </c>
      <c r="K710" t="str">
        <f t="shared" si="56"/>
        <v>High Risk</v>
      </c>
      <c r="L710">
        <f t="shared" si="57"/>
        <v>1</v>
      </c>
      <c r="M710">
        <f t="shared" si="58"/>
        <v>1</v>
      </c>
      <c r="N710" s="6">
        <f t="shared" si="59"/>
        <v>45670</v>
      </c>
    </row>
    <row r="711" spans="1:14" x14ac:dyDescent="0.3">
      <c r="A711">
        <v>310</v>
      </c>
      <c r="B711">
        <v>10035</v>
      </c>
      <c r="C711" t="s">
        <v>333</v>
      </c>
      <c r="D711" t="s">
        <v>23</v>
      </c>
      <c r="E711" t="s">
        <v>24</v>
      </c>
      <c r="F711" t="s">
        <v>17</v>
      </c>
      <c r="G711" t="s">
        <v>25</v>
      </c>
      <c r="H711">
        <v>27885.1</v>
      </c>
      <c r="I711">
        <v>0</v>
      </c>
      <c r="J711" t="str">
        <f t="shared" si="55"/>
        <v>High</v>
      </c>
      <c r="K711" t="str">
        <f t="shared" si="56"/>
        <v>Normal</v>
      </c>
      <c r="L711">
        <f t="shared" si="57"/>
        <v>1</v>
      </c>
      <c r="M711">
        <f t="shared" si="58"/>
        <v>1</v>
      </c>
      <c r="N711" s="6">
        <f t="shared" si="59"/>
        <v>45670</v>
      </c>
    </row>
    <row r="712" spans="1:14" x14ac:dyDescent="0.3">
      <c r="A712">
        <v>311</v>
      </c>
      <c r="B712">
        <v>10037</v>
      </c>
      <c r="C712" t="s">
        <v>334</v>
      </c>
      <c r="D712" t="s">
        <v>20</v>
      </c>
      <c r="E712" t="s">
        <v>11</v>
      </c>
      <c r="F712" t="s">
        <v>12</v>
      </c>
      <c r="G712" t="s">
        <v>13</v>
      </c>
      <c r="H712">
        <v>14311.3</v>
      </c>
      <c r="I712">
        <v>0</v>
      </c>
      <c r="J712" t="str">
        <f t="shared" si="55"/>
        <v>High</v>
      </c>
      <c r="K712" t="str">
        <f t="shared" si="56"/>
        <v>Normal</v>
      </c>
      <c r="L712">
        <f t="shared" si="57"/>
        <v>1</v>
      </c>
      <c r="M712">
        <f t="shared" si="58"/>
        <v>1</v>
      </c>
      <c r="N712" s="6">
        <f t="shared" si="59"/>
        <v>45670</v>
      </c>
    </row>
    <row r="713" spans="1:14" x14ac:dyDescent="0.3">
      <c r="A713">
        <v>312</v>
      </c>
      <c r="B713">
        <v>10083</v>
      </c>
      <c r="C713" t="s">
        <v>335</v>
      </c>
      <c r="D713" t="s">
        <v>20</v>
      </c>
      <c r="E713" t="s">
        <v>11</v>
      </c>
      <c r="F713" t="s">
        <v>17</v>
      </c>
      <c r="G713" t="s">
        <v>13</v>
      </c>
      <c r="H713">
        <v>31385</v>
      </c>
      <c r="I713">
        <v>0</v>
      </c>
      <c r="J713" t="str">
        <f t="shared" si="55"/>
        <v>High</v>
      </c>
      <c r="K713" t="str">
        <f t="shared" si="56"/>
        <v>Normal</v>
      </c>
      <c r="L713">
        <f t="shared" si="57"/>
        <v>1</v>
      </c>
      <c r="M713">
        <f t="shared" si="58"/>
        <v>1</v>
      </c>
      <c r="N713" s="6">
        <f t="shared" si="59"/>
        <v>45670</v>
      </c>
    </row>
    <row r="714" spans="1:14" x14ac:dyDescent="0.3">
      <c r="A714">
        <v>265</v>
      </c>
      <c r="B714">
        <v>10066</v>
      </c>
      <c r="C714" t="s">
        <v>288</v>
      </c>
      <c r="D714" t="s">
        <v>10</v>
      </c>
      <c r="E714" t="s">
        <v>11</v>
      </c>
      <c r="F714" t="s">
        <v>12</v>
      </c>
      <c r="G714" t="s">
        <v>18</v>
      </c>
      <c r="H714">
        <v>33667.11</v>
      </c>
      <c r="I714">
        <v>0</v>
      </c>
      <c r="J714" t="str">
        <f t="shared" si="55"/>
        <v>High</v>
      </c>
      <c r="K714" t="str">
        <f t="shared" si="56"/>
        <v>Normal</v>
      </c>
      <c r="L714">
        <f t="shared" si="57"/>
        <v>1</v>
      </c>
      <c r="M714">
        <f t="shared" si="58"/>
        <v>1</v>
      </c>
      <c r="N714" s="6">
        <f t="shared" si="59"/>
        <v>45669</v>
      </c>
    </row>
    <row r="715" spans="1:14" x14ac:dyDescent="0.3">
      <c r="A715">
        <v>266</v>
      </c>
      <c r="B715">
        <v>10018</v>
      </c>
      <c r="C715" t="s">
        <v>289</v>
      </c>
      <c r="D715" t="s">
        <v>10</v>
      </c>
      <c r="E715" t="s">
        <v>16</v>
      </c>
      <c r="F715" t="s">
        <v>12</v>
      </c>
      <c r="G715" t="s">
        <v>13</v>
      </c>
      <c r="H715">
        <v>46621.69</v>
      </c>
      <c r="I715">
        <v>0</v>
      </c>
      <c r="J715" t="str">
        <f t="shared" si="55"/>
        <v>High</v>
      </c>
      <c r="K715" t="str">
        <f t="shared" si="56"/>
        <v>Normal</v>
      </c>
      <c r="L715">
        <f t="shared" si="57"/>
        <v>1</v>
      </c>
      <c r="M715">
        <f t="shared" si="58"/>
        <v>1</v>
      </c>
      <c r="N715" s="6">
        <f t="shared" si="59"/>
        <v>45669</v>
      </c>
    </row>
    <row r="716" spans="1:14" x14ac:dyDescent="0.3">
      <c r="A716">
        <v>267</v>
      </c>
      <c r="B716">
        <v>10019</v>
      </c>
      <c r="C716" t="s">
        <v>290</v>
      </c>
      <c r="D716" t="s">
        <v>23</v>
      </c>
      <c r="E716" t="s">
        <v>24</v>
      </c>
      <c r="F716" t="s">
        <v>12</v>
      </c>
      <c r="G716" t="s">
        <v>21</v>
      </c>
      <c r="H716">
        <v>77360.77</v>
      </c>
      <c r="I716">
        <v>0</v>
      </c>
      <c r="J716" t="str">
        <f t="shared" si="55"/>
        <v>High</v>
      </c>
      <c r="K716" t="str">
        <f t="shared" si="56"/>
        <v>Normal</v>
      </c>
      <c r="L716">
        <f t="shared" si="57"/>
        <v>1</v>
      </c>
      <c r="M716">
        <f t="shared" si="58"/>
        <v>1</v>
      </c>
      <c r="N716" s="6">
        <f t="shared" si="59"/>
        <v>45669</v>
      </c>
    </row>
    <row r="717" spans="1:14" x14ac:dyDescent="0.3">
      <c r="A717">
        <v>268</v>
      </c>
      <c r="B717">
        <v>10095</v>
      </c>
      <c r="C717" t="s">
        <v>291</v>
      </c>
      <c r="D717" t="s">
        <v>10</v>
      </c>
      <c r="E717" t="s">
        <v>16</v>
      </c>
      <c r="F717" t="s">
        <v>12</v>
      </c>
      <c r="G717" t="s">
        <v>18</v>
      </c>
      <c r="H717">
        <v>91505.09</v>
      </c>
      <c r="I717">
        <v>0</v>
      </c>
      <c r="J717" t="str">
        <f t="shared" si="55"/>
        <v>High</v>
      </c>
      <c r="K717" t="str">
        <f t="shared" si="56"/>
        <v>Normal</v>
      </c>
      <c r="L717">
        <f t="shared" si="57"/>
        <v>1</v>
      </c>
      <c r="M717">
        <f t="shared" si="58"/>
        <v>1</v>
      </c>
      <c r="N717" s="6">
        <f t="shared" si="59"/>
        <v>45669</v>
      </c>
    </row>
    <row r="718" spans="1:14" x14ac:dyDescent="0.3">
      <c r="A718">
        <v>269</v>
      </c>
      <c r="B718">
        <v>10070</v>
      </c>
      <c r="C718" t="s">
        <v>292</v>
      </c>
      <c r="D718" t="s">
        <v>20</v>
      </c>
      <c r="E718" t="s">
        <v>24</v>
      </c>
      <c r="F718" t="s">
        <v>12</v>
      </c>
      <c r="G718" t="s">
        <v>13</v>
      </c>
      <c r="H718">
        <v>18995</v>
      </c>
      <c r="I718">
        <v>0</v>
      </c>
      <c r="J718" t="str">
        <f t="shared" si="55"/>
        <v>High</v>
      </c>
      <c r="K718" t="str">
        <f t="shared" si="56"/>
        <v>Normal</v>
      </c>
      <c r="L718">
        <f t="shared" si="57"/>
        <v>1</v>
      </c>
      <c r="M718">
        <f t="shared" si="58"/>
        <v>1</v>
      </c>
      <c r="N718" s="6">
        <f t="shared" si="59"/>
        <v>45669</v>
      </c>
    </row>
    <row r="719" spans="1:14" x14ac:dyDescent="0.3">
      <c r="A719">
        <v>270</v>
      </c>
      <c r="B719">
        <v>10051</v>
      </c>
      <c r="C719" t="s">
        <v>293</v>
      </c>
      <c r="D719" t="s">
        <v>15</v>
      </c>
      <c r="E719" t="s">
        <v>24</v>
      </c>
      <c r="F719" t="s">
        <v>17</v>
      </c>
      <c r="G719" t="s">
        <v>31</v>
      </c>
      <c r="H719">
        <v>92244.51</v>
      </c>
      <c r="I719">
        <v>0</v>
      </c>
      <c r="J719" t="str">
        <f t="shared" si="55"/>
        <v>High</v>
      </c>
      <c r="K719" t="str">
        <f t="shared" si="56"/>
        <v>Normal</v>
      </c>
      <c r="L719">
        <f t="shared" si="57"/>
        <v>1</v>
      </c>
      <c r="M719">
        <f t="shared" si="58"/>
        <v>1</v>
      </c>
      <c r="N719" s="6">
        <f t="shared" si="59"/>
        <v>45669</v>
      </c>
    </row>
    <row r="720" spans="1:14" x14ac:dyDescent="0.3">
      <c r="A720">
        <v>271</v>
      </c>
      <c r="B720">
        <v>10032</v>
      </c>
      <c r="C720" t="s">
        <v>294</v>
      </c>
      <c r="D720" t="s">
        <v>20</v>
      </c>
      <c r="E720" t="s">
        <v>24</v>
      </c>
      <c r="F720" t="s">
        <v>17</v>
      </c>
      <c r="G720" t="s">
        <v>18</v>
      </c>
      <c r="H720">
        <v>69592.899999999994</v>
      </c>
      <c r="I720">
        <v>0</v>
      </c>
      <c r="J720" t="str">
        <f t="shared" si="55"/>
        <v>High</v>
      </c>
      <c r="K720" t="str">
        <f t="shared" si="56"/>
        <v>Normal</v>
      </c>
      <c r="L720">
        <f t="shared" si="57"/>
        <v>1</v>
      </c>
      <c r="M720">
        <f t="shared" si="58"/>
        <v>1</v>
      </c>
      <c r="N720" s="6">
        <f t="shared" si="59"/>
        <v>45669</v>
      </c>
    </row>
    <row r="721" spans="1:14" x14ac:dyDescent="0.3">
      <c r="A721">
        <v>272</v>
      </c>
      <c r="B721">
        <v>10039</v>
      </c>
      <c r="C721" t="s">
        <v>295</v>
      </c>
      <c r="D721" t="s">
        <v>10</v>
      </c>
      <c r="E721" t="s">
        <v>11</v>
      </c>
      <c r="F721" t="s">
        <v>17</v>
      </c>
      <c r="G721" t="s">
        <v>18</v>
      </c>
      <c r="H721">
        <v>61116</v>
      </c>
      <c r="I721">
        <v>1</v>
      </c>
      <c r="J721" t="str">
        <f t="shared" si="55"/>
        <v>High</v>
      </c>
      <c r="K721" t="str">
        <f t="shared" si="56"/>
        <v>High Risk</v>
      </c>
      <c r="L721">
        <f t="shared" si="57"/>
        <v>1</v>
      </c>
      <c r="M721">
        <f t="shared" si="58"/>
        <v>1</v>
      </c>
      <c r="N721" s="6">
        <f t="shared" si="59"/>
        <v>45669</v>
      </c>
    </row>
    <row r="722" spans="1:14" x14ac:dyDescent="0.3">
      <c r="A722">
        <v>273</v>
      </c>
      <c r="B722">
        <v>10038</v>
      </c>
      <c r="C722" t="s">
        <v>296</v>
      </c>
      <c r="D722" t="s">
        <v>29</v>
      </c>
      <c r="E722" t="s">
        <v>11</v>
      </c>
      <c r="F722" t="s">
        <v>17</v>
      </c>
      <c r="G722" t="s">
        <v>25</v>
      </c>
      <c r="H722">
        <v>20064.14</v>
      </c>
      <c r="I722">
        <v>0</v>
      </c>
      <c r="J722" t="str">
        <f t="shared" si="55"/>
        <v>High</v>
      </c>
      <c r="K722" t="str">
        <f t="shared" si="56"/>
        <v>Normal</v>
      </c>
      <c r="L722">
        <f t="shared" si="57"/>
        <v>1</v>
      </c>
      <c r="M722">
        <f t="shared" si="58"/>
        <v>1</v>
      </c>
      <c r="N722" s="6">
        <f t="shared" si="59"/>
        <v>45669</v>
      </c>
    </row>
    <row r="723" spans="1:14" x14ac:dyDescent="0.3">
      <c r="A723">
        <v>274</v>
      </c>
      <c r="B723">
        <v>10081</v>
      </c>
      <c r="C723" t="s">
        <v>297</v>
      </c>
      <c r="D723" t="s">
        <v>15</v>
      </c>
      <c r="E723" t="s">
        <v>11</v>
      </c>
      <c r="F723" t="s">
        <v>12</v>
      </c>
      <c r="G723" t="s">
        <v>31</v>
      </c>
      <c r="H723">
        <v>5646.95</v>
      </c>
      <c r="I723">
        <v>0</v>
      </c>
      <c r="J723" t="str">
        <f t="shared" si="55"/>
        <v>High</v>
      </c>
      <c r="K723" t="str">
        <f t="shared" si="56"/>
        <v>Normal</v>
      </c>
      <c r="L723">
        <f t="shared" si="57"/>
        <v>1</v>
      </c>
      <c r="M723">
        <f t="shared" si="58"/>
        <v>1</v>
      </c>
      <c r="N723" s="6">
        <f t="shared" si="59"/>
        <v>45669</v>
      </c>
    </row>
    <row r="724" spans="1:14" x14ac:dyDescent="0.3">
      <c r="A724">
        <v>275</v>
      </c>
      <c r="B724">
        <v>10000</v>
      </c>
      <c r="C724" t="s">
        <v>298</v>
      </c>
      <c r="D724" t="s">
        <v>15</v>
      </c>
      <c r="E724" t="s">
        <v>16</v>
      </c>
      <c r="F724" t="s">
        <v>12</v>
      </c>
      <c r="G724" t="s">
        <v>21</v>
      </c>
      <c r="H724">
        <v>56889.64</v>
      </c>
      <c r="I724">
        <v>0</v>
      </c>
      <c r="J724" t="str">
        <f t="shared" si="55"/>
        <v>High</v>
      </c>
      <c r="K724" t="str">
        <f t="shared" si="56"/>
        <v>Normal</v>
      </c>
      <c r="L724">
        <f t="shared" si="57"/>
        <v>1</v>
      </c>
      <c r="M724">
        <f t="shared" si="58"/>
        <v>1</v>
      </c>
      <c r="N724" s="6">
        <f t="shared" si="59"/>
        <v>45669</v>
      </c>
    </row>
    <row r="725" spans="1:14" x14ac:dyDescent="0.3">
      <c r="A725">
        <v>276</v>
      </c>
      <c r="B725">
        <v>10010</v>
      </c>
      <c r="C725" t="s">
        <v>299</v>
      </c>
      <c r="D725" t="s">
        <v>23</v>
      </c>
      <c r="E725" t="s">
        <v>16</v>
      </c>
      <c r="F725" t="s">
        <v>17</v>
      </c>
      <c r="G725" t="s">
        <v>13</v>
      </c>
      <c r="H725">
        <v>65186.42</v>
      </c>
      <c r="I725">
        <v>0</v>
      </c>
      <c r="J725" t="str">
        <f t="shared" si="55"/>
        <v>High</v>
      </c>
      <c r="K725" t="str">
        <f t="shared" si="56"/>
        <v>Normal</v>
      </c>
      <c r="L725">
        <f t="shared" si="57"/>
        <v>1</v>
      </c>
      <c r="M725">
        <f t="shared" si="58"/>
        <v>1</v>
      </c>
      <c r="N725" s="6">
        <f t="shared" si="59"/>
        <v>45669</v>
      </c>
    </row>
    <row r="726" spans="1:14" x14ac:dyDescent="0.3">
      <c r="A726">
        <v>277</v>
      </c>
      <c r="B726">
        <v>10091</v>
      </c>
      <c r="C726" t="s">
        <v>300</v>
      </c>
      <c r="D726" t="s">
        <v>23</v>
      </c>
      <c r="E726" t="s">
        <v>11</v>
      </c>
      <c r="F726" t="s">
        <v>12</v>
      </c>
      <c r="G726" t="s">
        <v>25</v>
      </c>
      <c r="H726">
        <v>21157.07</v>
      </c>
      <c r="I726">
        <v>0</v>
      </c>
      <c r="J726" t="str">
        <f t="shared" si="55"/>
        <v>High</v>
      </c>
      <c r="K726" t="str">
        <f t="shared" si="56"/>
        <v>Normal</v>
      </c>
      <c r="L726">
        <f t="shared" si="57"/>
        <v>1</v>
      </c>
      <c r="M726">
        <f t="shared" si="58"/>
        <v>1</v>
      </c>
      <c r="N726" s="6">
        <f t="shared" si="59"/>
        <v>45669</v>
      </c>
    </row>
    <row r="727" spans="1:14" x14ac:dyDescent="0.3">
      <c r="A727">
        <v>278</v>
      </c>
      <c r="B727">
        <v>10056</v>
      </c>
      <c r="C727" t="s">
        <v>301</v>
      </c>
      <c r="D727" t="s">
        <v>29</v>
      </c>
      <c r="E727" t="s">
        <v>16</v>
      </c>
      <c r="F727" t="s">
        <v>12</v>
      </c>
      <c r="G727" t="s">
        <v>13</v>
      </c>
      <c r="H727">
        <v>55689.97</v>
      </c>
      <c r="I727">
        <v>0</v>
      </c>
      <c r="J727" t="str">
        <f t="shared" si="55"/>
        <v>High</v>
      </c>
      <c r="K727" t="str">
        <f t="shared" si="56"/>
        <v>Normal</v>
      </c>
      <c r="L727">
        <f t="shared" si="57"/>
        <v>1</v>
      </c>
      <c r="M727">
        <f t="shared" si="58"/>
        <v>1</v>
      </c>
      <c r="N727" s="6">
        <f t="shared" si="59"/>
        <v>45669</v>
      </c>
    </row>
    <row r="728" spans="1:14" x14ac:dyDescent="0.3">
      <c r="A728">
        <v>279</v>
      </c>
      <c r="B728">
        <v>10088</v>
      </c>
      <c r="C728" t="s">
        <v>302</v>
      </c>
      <c r="D728" t="s">
        <v>15</v>
      </c>
      <c r="E728" t="s">
        <v>24</v>
      </c>
      <c r="F728" t="s">
        <v>17</v>
      </c>
      <c r="G728" t="s">
        <v>21</v>
      </c>
      <c r="H728">
        <v>85663.69</v>
      </c>
      <c r="I728">
        <v>0</v>
      </c>
      <c r="J728" t="str">
        <f t="shared" si="55"/>
        <v>High</v>
      </c>
      <c r="K728" t="str">
        <f t="shared" si="56"/>
        <v>Normal</v>
      </c>
      <c r="L728">
        <f t="shared" si="57"/>
        <v>1</v>
      </c>
      <c r="M728">
        <f t="shared" si="58"/>
        <v>1</v>
      </c>
      <c r="N728" s="6">
        <f t="shared" si="59"/>
        <v>45669</v>
      </c>
    </row>
    <row r="729" spans="1:14" x14ac:dyDescent="0.3">
      <c r="A729">
        <v>280</v>
      </c>
      <c r="B729">
        <v>10049</v>
      </c>
      <c r="C729" t="s">
        <v>303</v>
      </c>
      <c r="D729" t="s">
        <v>29</v>
      </c>
      <c r="E729" t="s">
        <v>24</v>
      </c>
      <c r="F729" t="s">
        <v>17</v>
      </c>
      <c r="G729" t="s">
        <v>21</v>
      </c>
      <c r="H729">
        <v>83523.09</v>
      </c>
      <c r="I729">
        <v>0</v>
      </c>
      <c r="J729" t="str">
        <f t="shared" si="55"/>
        <v>High</v>
      </c>
      <c r="K729" t="str">
        <f t="shared" si="56"/>
        <v>Normal</v>
      </c>
      <c r="L729">
        <f t="shared" si="57"/>
        <v>1</v>
      </c>
      <c r="M729">
        <f t="shared" si="58"/>
        <v>1</v>
      </c>
      <c r="N729" s="6">
        <f t="shared" si="59"/>
        <v>45669</v>
      </c>
    </row>
    <row r="730" spans="1:14" x14ac:dyDescent="0.3">
      <c r="A730">
        <v>281</v>
      </c>
      <c r="B730">
        <v>10022</v>
      </c>
      <c r="C730" t="s">
        <v>304</v>
      </c>
      <c r="D730" t="s">
        <v>23</v>
      </c>
      <c r="E730" t="s">
        <v>24</v>
      </c>
      <c r="F730" t="s">
        <v>12</v>
      </c>
      <c r="G730" t="s">
        <v>18</v>
      </c>
      <c r="H730">
        <v>92742.78</v>
      </c>
      <c r="I730">
        <v>0</v>
      </c>
      <c r="J730" t="str">
        <f t="shared" si="55"/>
        <v>High</v>
      </c>
      <c r="K730" t="str">
        <f t="shared" si="56"/>
        <v>Normal</v>
      </c>
      <c r="L730">
        <f t="shared" si="57"/>
        <v>1</v>
      </c>
      <c r="M730">
        <f t="shared" si="58"/>
        <v>1</v>
      </c>
      <c r="N730" s="6">
        <f t="shared" si="59"/>
        <v>45669</v>
      </c>
    </row>
    <row r="731" spans="1:14" x14ac:dyDescent="0.3">
      <c r="A731">
        <v>282</v>
      </c>
      <c r="B731">
        <v>10030</v>
      </c>
      <c r="C731" t="s">
        <v>305</v>
      </c>
      <c r="D731" t="s">
        <v>23</v>
      </c>
      <c r="E731" t="s">
        <v>11</v>
      </c>
      <c r="F731" t="s">
        <v>12</v>
      </c>
      <c r="G731" t="s">
        <v>21</v>
      </c>
      <c r="H731">
        <v>36651.99</v>
      </c>
      <c r="I731">
        <v>0</v>
      </c>
      <c r="J731" t="str">
        <f t="shared" si="55"/>
        <v>High</v>
      </c>
      <c r="K731" t="str">
        <f t="shared" si="56"/>
        <v>Normal</v>
      </c>
      <c r="L731">
        <f t="shared" si="57"/>
        <v>1</v>
      </c>
      <c r="M731">
        <f t="shared" si="58"/>
        <v>1</v>
      </c>
      <c r="N731" s="6">
        <f t="shared" si="59"/>
        <v>45669</v>
      </c>
    </row>
    <row r="732" spans="1:14" x14ac:dyDescent="0.3">
      <c r="A732">
        <v>283</v>
      </c>
      <c r="B732">
        <v>10093</v>
      </c>
      <c r="C732" t="s">
        <v>306</v>
      </c>
      <c r="D732" t="s">
        <v>15</v>
      </c>
      <c r="E732" t="s">
        <v>16</v>
      </c>
      <c r="F732" t="s">
        <v>17</v>
      </c>
      <c r="G732" t="s">
        <v>13</v>
      </c>
      <c r="H732">
        <v>31873.15</v>
      </c>
      <c r="I732">
        <v>0</v>
      </c>
      <c r="J732" t="str">
        <f t="shared" si="55"/>
        <v>High</v>
      </c>
      <c r="K732" t="str">
        <f t="shared" si="56"/>
        <v>Normal</v>
      </c>
      <c r="L732">
        <f t="shared" si="57"/>
        <v>1</v>
      </c>
      <c r="M732">
        <f t="shared" si="58"/>
        <v>1</v>
      </c>
      <c r="N732" s="6">
        <f t="shared" si="59"/>
        <v>45669</v>
      </c>
    </row>
    <row r="733" spans="1:14" x14ac:dyDescent="0.3">
      <c r="A733">
        <v>284</v>
      </c>
      <c r="B733">
        <v>10041</v>
      </c>
      <c r="C733" t="s">
        <v>307</v>
      </c>
      <c r="D733" t="s">
        <v>20</v>
      </c>
      <c r="E733" t="s">
        <v>11</v>
      </c>
      <c r="F733" t="s">
        <v>17</v>
      </c>
      <c r="G733" t="s">
        <v>31</v>
      </c>
      <c r="H733">
        <v>74967.66</v>
      </c>
      <c r="I733">
        <v>1</v>
      </c>
      <c r="J733" t="str">
        <f t="shared" si="55"/>
        <v>High</v>
      </c>
      <c r="K733" t="str">
        <f t="shared" si="56"/>
        <v>High Risk</v>
      </c>
      <c r="L733">
        <f t="shared" si="57"/>
        <v>1</v>
      </c>
      <c r="M733">
        <f t="shared" si="58"/>
        <v>1</v>
      </c>
      <c r="N733" s="6">
        <f t="shared" si="59"/>
        <v>45669</v>
      </c>
    </row>
    <row r="734" spans="1:14" x14ac:dyDescent="0.3">
      <c r="A734">
        <v>285</v>
      </c>
      <c r="B734">
        <v>10098</v>
      </c>
      <c r="C734" t="s">
        <v>308</v>
      </c>
      <c r="D734" t="s">
        <v>10</v>
      </c>
      <c r="E734" t="s">
        <v>16</v>
      </c>
      <c r="F734" t="s">
        <v>17</v>
      </c>
      <c r="G734" t="s">
        <v>31</v>
      </c>
      <c r="H734">
        <v>43168.13</v>
      </c>
      <c r="I734">
        <v>0</v>
      </c>
      <c r="J734" t="str">
        <f t="shared" si="55"/>
        <v>High</v>
      </c>
      <c r="K734" t="str">
        <f t="shared" si="56"/>
        <v>Normal</v>
      </c>
      <c r="L734">
        <f t="shared" si="57"/>
        <v>1</v>
      </c>
      <c r="M734">
        <f t="shared" si="58"/>
        <v>1</v>
      </c>
      <c r="N734" s="6">
        <f t="shared" si="59"/>
        <v>45669</v>
      </c>
    </row>
    <row r="735" spans="1:14" x14ac:dyDescent="0.3">
      <c r="A735">
        <v>286</v>
      </c>
      <c r="B735">
        <v>10006</v>
      </c>
      <c r="C735" t="s">
        <v>309</v>
      </c>
      <c r="D735" t="s">
        <v>23</v>
      </c>
      <c r="E735" t="s">
        <v>24</v>
      </c>
      <c r="F735" t="s">
        <v>12</v>
      </c>
      <c r="G735" t="s">
        <v>18</v>
      </c>
      <c r="H735">
        <v>8846.11</v>
      </c>
      <c r="I735">
        <v>0</v>
      </c>
      <c r="J735" t="str">
        <f t="shared" si="55"/>
        <v>High</v>
      </c>
      <c r="K735" t="str">
        <f t="shared" si="56"/>
        <v>Normal</v>
      </c>
      <c r="L735">
        <f t="shared" si="57"/>
        <v>1</v>
      </c>
      <c r="M735">
        <f t="shared" si="58"/>
        <v>1</v>
      </c>
      <c r="N735" s="6">
        <f t="shared" si="59"/>
        <v>45669</v>
      </c>
    </row>
    <row r="736" spans="1:14" x14ac:dyDescent="0.3">
      <c r="A736">
        <v>287</v>
      </c>
      <c r="B736">
        <v>10015</v>
      </c>
      <c r="C736" t="s">
        <v>310</v>
      </c>
      <c r="D736" t="s">
        <v>23</v>
      </c>
      <c r="E736" t="s">
        <v>11</v>
      </c>
      <c r="F736" t="s">
        <v>17</v>
      </c>
      <c r="G736" t="s">
        <v>13</v>
      </c>
      <c r="H736">
        <v>28351.83</v>
      </c>
      <c r="I736">
        <v>0</v>
      </c>
      <c r="J736" t="str">
        <f t="shared" si="55"/>
        <v>High</v>
      </c>
      <c r="K736" t="str">
        <f t="shared" si="56"/>
        <v>Normal</v>
      </c>
      <c r="L736">
        <f t="shared" si="57"/>
        <v>1</v>
      </c>
      <c r="M736">
        <f t="shared" si="58"/>
        <v>1</v>
      </c>
      <c r="N736" s="6">
        <f t="shared" si="59"/>
        <v>45669</v>
      </c>
    </row>
    <row r="737" spans="1:14" x14ac:dyDescent="0.3">
      <c r="A737">
        <v>288</v>
      </c>
      <c r="B737">
        <v>10089</v>
      </c>
      <c r="C737" t="s">
        <v>311</v>
      </c>
      <c r="D737" t="s">
        <v>20</v>
      </c>
      <c r="E737" t="s">
        <v>16</v>
      </c>
      <c r="F737" t="s">
        <v>17</v>
      </c>
      <c r="G737" t="s">
        <v>13</v>
      </c>
      <c r="H737">
        <v>41916.370000000003</v>
      </c>
      <c r="I737">
        <v>0</v>
      </c>
      <c r="J737" t="str">
        <f t="shared" si="55"/>
        <v>High</v>
      </c>
      <c r="K737" t="str">
        <f t="shared" si="56"/>
        <v>Normal</v>
      </c>
      <c r="L737">
        <f t="shared" si="57"/>
        <v>1</v>
      </c>
      <c r="M737">
        <f t="shared" si="58"/>
        <v>1</v>
      </c>
      <c r="N737" s="6">
        <f t="shared" si="59"/>
        <v>45669</v>
      </c>
    </row>
    <row r="738" spans="1:14" x14ac:dyDescent="0.3">
      <c r="A738">
        <v>241</v>
      </c>
      <c r="B738">
        <v>10054</v>
      </c>
      <c r="C738" t="s">
        <v>264</v>
      </c>
      <c r="D738" t="s">
        <v>15</v>
      </c>
      <c r="E738" t="s">
        <v>11</v>
      </c>
      <c r="F738" t="s">
        <v>17</v>
      </c>
      <c r="G738" t="s">
        <v>25</v>
      </c>
      <c r="H738">
        <v>76066.39</v>
      </c>
      <c r="I738">
        <v>1</v>
      </c>
      <c r="J738" t="str">
        <f t="shared" si="55"/>
        <v>High</v>
      </c>
      <c r="K738" t="str">
        <f t="shared" si="56"/>
        <v>High Risk</v>
      </c>
      <c r="L738">
        <f t="shared" si="57"/>
        <v>1</v>
      </c>
      <c r="M738">
        <f t="shared" si="58"/>
        <v>1</v>
      </c>
      <c r="N738" s="6">
        <f t="shared" si="59"/>
        <v>45668</v>
      </c>
    </row>
    <row r="739" spans="1:14" x14ac:dyDescent="0.3">
      <c r="A739">
        <v>242</v>
      </c>
      <c r="B739">
        <v>10074</v>
      </c>
      <c r="C739" t="s">
        <v>265</v>
      </c>
      <c r="D739" t="s">
        <v>15</v>
      </c>
      <c r="E739" t="s">
        <v>16</v>
      </c>
      <c r="F739" t="s">
        <v>17</v>
      </c>
      <c r="G739" t="s">
        <v>31</v>
      </c>
      <c r="H739">
        <v>51340.92</v>
      </c>
      <c r="I739">
        <v>0</v>
      </c>
      <c r="J739" t="str">
        <f t="shared" si="55"/>
        <v>High</v>
      </c>
      <c r="K739" t="str">
        <f t="shared" si="56"/>
        <v>Normal</v>
      </c>
      <c r="L739">
        <f t="shared" si="57"/>
        <v>1</v>
      </c>
      <c r="M739">
        <f t="shared" si="58"/>
        <v>1</v>
      </c>
      <c r="N739" s="6">
        <f t="shared" si="59"/>
        <v>45668</v>
      </c>
    </row>
    <row r="740" spans="1:14" x14ac:dyDescent="0.3">
      <c r="A740">
        <v>243</v>
      </c>
      <c r="B740">
        <v>10055</v>
      </c>
      <c r="C740" t="s">
        <v>266</v>
      </c>
      <c r="D740" t="s">
        <v>29</v>
      </c>
      <c r="E740" t="s">
        <v>24</v>
      </c>
      <c r="F740" t="s">
        <v>12</v>
      </c>
      <c r="G740" t="s">
        <v>21</v>
      </c>
      <c r="H740">
        <v>70437.919999999998</v>
      </c>
      <c r="I740">
        <v>0</v>
      </c>
      <c r="J740" t="str">
        <f t="shared" si="55"/>
        <v>High</v>
      </c>
      <c r="K740" t="str">
        <f t="shared" si="56"/>
        <v>Normal</v>
      </c>
      <c r="L740">
        <f t="shared" si="57"/>
        <v>1</v>
      </c>
      <c r="M740">
        <f t="shared" si="58"/>
        <v>1</v>
      </c>
      <c r="N740" s="6">
        <f t="shared" si="59"/>
        <v>45668</v>
      </c>
    </row>
    <row r="741" spans="1:14" x14ac:dyDescent="0.3">
      <c r="A741">
        <v>244</v>
      </c>
      <c r="B741">
        <v>10016</v>
      </c>
      <c r="C741" t="s">
        <v>267</v>
      </c>
      <c r="D741" t="s">
        <v>23</v>
      </c>
      <c r="E741" t="s">
        <v>11</v>
      </c>
      <c r="F741" t="s">
        <v>12</v>
      </c>
      <c r="G741" t="s">
        <v>13</v>
      </c>
      <c r="H741">
        <v>93523.69</v>
      </c>
      <c r="I741">
        <v>1</v>
      </c>
      <c r="J741" t="str">
        <f t="shared" si="55"/>
        <v>High</v>
      </c>
      <c r="K741" t="str">
        <f t="shared" si="56"/>
        <v>High Risk</v>
      </c>
      <c r="L741">
        <f t="shared" si="57"/>
        <v>1</v>
      </c>
      <c r="M741">
        <f t="shared" si="58"/>
        <v>1</v>
      </c>
      <c r="N741" s="6">
        <f t="shared" si="59"/>
        <v>45668</v>
      </c>
    </row>
    <row r="742" spans="1:14" x14ac:dyDescent="0.3">
      <c r="A742">
        <v>245</v>
      </c>
      <c r="B742">
        <v>10037</v>
      </c>
      <c r="C742" t="s">
        <v>268</v>
      </c>
      <c r="D742" t="s">
        <v>23</v>
      </c>
      <c r="E742" t="s">
        <v>16</v>
      </c>
      <c r="F742" t="s">
        <v>17</v>
      </c>
      <c r="G742" t="s">
        <v>21</v>
      </c>
      <c r="H742">
        <v>37642.92</v>
      </c>
      <c r="I742">
        <v>0</v>
      </c>
      <c r="J742" t="str">
        <f t="shared" si="55"/>
        <v>High</v>
      </c>
      <c r="K742" t="str">
        <f t="shared" si="56"/>
        <v>Normal</v>
      </c>
      <c r="L742">
        <f t="shared" si="57"/>
        <v>1</v>
      </c>
      <c r="M742">
        <f t="shared" si="58"/>
        <v>1</v>
      </c>
      <c r="N742" s="6">
        <f t="shared" si="59"/>
        <v>45668</v>
      </c>
    </row>
    <row r="743" spans="1:14" x14ac:dyDescent="0.3">
      <c r="A743">
        <v>246</v>
      </c>
      <c r="B743">
        <v>10023</v>
      </c>
      <c r="C743" t="s">
        <v>269</v>
      </c>
      <c r="D743" t="s">
        <v>23</v>
      </c>
      <c r="E743" t="s">
        <v>11</v>
      </c>
      <c r="F743" t="s">
        <v>17</v>
      </c>
      <c r="G743" t="s">
        <v>13</v>
      </c>
      <c r="H743">
        <v>70841.37</v>
      </c>
      <c r="I743">
        <v>1</v>
      </c>
      <c r="J743" t="str">
        <f t="shared" si="55"/>
        <v>High</v>
      </c>
      <c r="K743" t="str">
        <f t="shared" si="56"/>
        <v>High Risk</v>
      </c>
      <c r="L743">
        <f t="shared" si="57"/>
        <v>1</v>
      </c>
      <c r="M743">
        <f t="shared" si="58"/>
        <v>1</v>
      </c>
      <c r="N743" s="6">
        <f t="shared" si="59"/>
        <v>45668</v>
      </c>
    </row>
    <row r="744" spans="1:14" x14ac:dyDescent="0.3">
      <c r="A744">
        <v>247</v>
      </c>
      <c r="B744">
        <v>10068</v>
      </c>
      <c r="C744" t="s">
        <v>270</v>
      </c>
      <c r="D744" t="s">
        <v>29</v>
      </c>
      <c r="E744" t="s">
        <v>11</v>
      </c>
      <c r="F744" t="s">
        <v>12</v>
      </c>
      <c r="G744" t="s">
        <v>31</v>
      </c>
      <c r="H744">
        <v>47621.21</v>
      </c>
      <c r="I744">
        <v>0</v>
      </c>
      <c r="J744" t="str">
        <f t="shared" si="55"/>
        <v>High</v>
      </c>
      <c r="K744" t="str">
        <f t="shared" si="56"/>
        <v>Normal</v>
      </c>
      <c r="L744">
        <f t="shared" si="57"/>
        <v>1</v>
      </c>
      <c r="M744">
        <f t="shared" si="58"/>
        <v>1</v>
      </c>
      <c r="N744" s="6">
        <f t="shared" si="59"/>
        <v>45668</v>
      </c>
    </row>
    <row r="745" spans="1:14" x14ac:dyDescent="0.3">
      <c r="A745">
        <v>248</v>
      </c>
      <c r="B745">
        <v>10097</v>
      </c>
      <c r="C745" t="s">
        <v>271</v>
      </c>
      <c r="D745" t="s">
        <v>15</v>
      </c>
      <c r="E745" t="s">
        <v>24</v>
      </c>
      <c r="F745" t="s">
        <v>17</v>
      </c>
      <c r="G745" t="s">
        <v>25</v>
      </c>
      <c r="H745">
        <v>67472.53</v>
      </c>
      <c r="I745">
        <v>0</v>
      </c>
      <c r="J745" t="str">
        <f t="shared" si="55"/>
        <v>High</v>
      </c>
      <c r="K745" t="str">
        <f t="shared" si="56"/>
        <v>Normal</v>
      </c>
      <c r="L745">
        <f t="shared" si="57"/>
        <v>1</v>
      </c>
      <c r="M745">
        <f t="shared" si="58"/>
        <v>1</v>
      </c>
      <c r="N745" s="6">
        <f t="shared" si="59"/>
        <v>45668</v>
      </c>
    </row>
    <row r="746" spans="1:14" x14ac:dyDescent="0.3">
      <c r="A746">
        <v>249</v>
      </c>
      <c r="B746">
        <v>10069</v>
      </c>
      <c r="C746" t="s">
        <v>272</v>
      </c>
      <c r="D746" t="s">
        <v>29</v>
      </c>
      <c r="E746" t="s">
        <v>11</v>
      </c>
      <c r="F746" t="s">
        <v>17</v>
      </c>
      <c r="G746" t="s">
        <v>18</v>
      </c>
      <c r="H746">
        <v>76313.039999999994</v>
      </c>
      <c r="I746">
        <v>1</v>
      </c>
      <c r="J746" t="str">
        <f t="shared" si="55"/>
        <v>High</v>
      </c>
      <c r="K746" t="str">
        <f t="shared" si="56"/>
        <v>High Risk</v>
      </c>
      <c r="L746">
        <f t="shared" si="57"/>
        <v>1</v>
      </c>
      <c r="M746">
        <f t="shared" si="58"/>
        <v>1</v>
      </c>
      <c r="N746" s="6">
        <f t="shared" si="59"/>
        <v>45668</v>
      </c>
    </row>
    <row r="747" spans="1:14" x14ac:dyDescent="0.3">
      <c r="A747">
        <v>250</v>
      </c>
      <c r="B747">
        <v>10085</v>
      </c>
      <c r="C747" t="s">
        <v>273</v>
      </c>
      <c r="D747" t="s">
        <v>29</v>
      </c>
      <c r="E747" t="s">
        <v>16</v>
      </c>
      <c r="F747" t="s">
        <v>17</v>
      </c>
      <c r="G747" t="s">
        <v>31</v>
      </c>
      <c r="H747">
        <v>4640.7</v>
      </c>
      <c r="I747">
        <v>0</v>
      </c>
      <c r="J747" t="str">
        <f t="shared" si="55"/>
        <v>High</v>
      </c>
      <c r="K747" t="str">
        <f t="shared" si="56"/>
        <v>Normal</v>
      </c>
      <c r="L747">
        <f t="shared" si="57"/>
        <v>1</v>
      </c>
      <c r="M747">
        <f t="shared" si="58"/>
        <v>1</v>
      </c>
      <c r="N747" s="6">
        <f t="shared" si="59"/>
        <v>45668</v>
      </c>
    </row>
    <row r="748" spans="1:14" x14ac:dyDescent="0.3">
      <c r="A748">
        <v>251</v>
      </c>
      <c r="B748">
        <v>10010</v>
      </c>
      <c r="C748" t="s">
        <v>274</v>
      </c>
      <c r="D748" t="s">
        <v>23</v>
      </c>
      <c r="E748" t="s">
        <v>11</v>
      </c>
      <c r="F748" t="s">
        <v>17</v>
      </c>
      <c r="G748" t="s">
        <v>21</v>
      </c>
      <c r="H748">
        <v>64695.38</v>
      </c>
      <c r="I748">
        <v>1</v>
      </c>
      <c r="J748" t="str">
        <f t="shared" si="55"/>
        <v>High</v>
      </c>
      <c r="K748" t="str">
        <f t="shared" si="56"/>
        <v>High Risk</v>
      </c>
      <c r="L748">
        <f t="shared" si="57"/>
        <v>1</v>
      </c>
      <c r="M748">
        <f t="shared" si="58"/>
        <v>1</v>
      </c>
      <c r="N748" s="6">
        <f t="shared" si="59"/>
        <v>45668</v>
      </c>
    </row>
    <row r="749" spans="1:14" x14ac:dyDescent="0.3">
      <c r="A749">
        <v>252</v>
      </c>
      <c r="B749">
        <v>10015</v>
      </c>
      <c r="C749" t="s">
        <v>275</v>
      </c>
      <c r="D749" t="s">
        <v>10</v>
      </c>
      <c r="E749" t="s">
        <v>24</v>
      </c>
      <c r="F749" t="s">
        <v>17</v>
      </c>
      <c r="G749" t="s">
        <v>18</v>
      </c>
      <c r="H749">
        <v>22751.439999999999</v>
      </c>
      <c r="I749">
        <v>0</v>
      </c>
      <c r="J749" t="str">
        <f t="shared" si="55"/>
        <v>High</v>
      </c>
      <c r="K749" t="str">
        <f t="shared" si="56"/>
        <v>Normal</v>
      </c>
      <c r="L749">
        <f t="shared" si="57"/>
        <v>1</v>
      </c>
      <c r="M749">
        <f t="shared" si="58"/>
        <v>1</v>
      </c>
      <c r="N749" s="6">
        <f t="shared" si="59"/>
        <v>45668</v>
      </c>
    </row>
    <row r="750" spans="1:14" x14ac:dyDescent="0.3">
      <c r="A750">
        <v>253</v>
      </c>
      <c r="B750">
        <v>10096</v>
      </c>
      <c r="C750" t="s">
        <v>276</v>
      </c>
      <c r="D750" t="s">
        <v>15</v>
      </c>
      <c r="E750" t="s">
        <v>24</v>
      </c>
      <c r="F750" t="s">
        <v>17</v>
      </c>
      <c r="G750" t="s">
        <v>25</v>
      </c>
      <c r="H750">
        <v>67036.25</v>
      </c>
      <c r="I750">
        <v>0</v>
      </c>
      <c r="J750" t="str">
        <f t="shared" si="55"/>
        <v>High</v>
      </c>
      <c r="K750" t="str">
        <f t="shared" si="56"/>
        <v>Normal</v>
      </c>
      <c r="L750">
        <f t="shared" si="57"/>
        <v>1</v>
      </c>
      <c r="M750">
        <f t="shared" si="58"/>
        <v>1</v>
      </c>
      <c r="N750" s="6">
        <f t="shared" si="59"/>
        <v>45668</v>
      </c>
    </row>
    <row r="751" spans="1:14" x14ac:dyDescent="0.3">
      <c r="A751">
        <v>254</v>
      </c>
      <c r="B751">
        <v>10072</v>
      </c>
      <c r="C751" t="s">
        <v>277</v>
      </c>
      <c r="D751" t="s">
        <v>23</v>
      </c>
      <c r="E751" t="s">
        <v>16</v>
      </c>
      <c r="F751" t="s">
        <v>12</v>
      </c>
      <c r="G751" t="s">
        <v>31</v>
      </c>
      <c r="H751">
        <v>46886.19</v>
      </c>
      <c r="I751">
        <v>0</v>
      </c>
      <c r="J751" t="str">
        <f t="shared" si="55"/>
        <v>High</v>
      </c>
      <c r="K751" t="str">
        <f t="shared" si="56"/>
        <v>Normal</v>
      </c>
      <c r="L751">
        <f t="shared" si="57"/>
        <v>1</v>
      </c>
      <c r="M751">
        <f t="shared" si="58"/>
        <v>1</v>
      </c>
      <c r="N751" s="6">
        <f t="shared" si="59"/>
        <v>45668</v>
      </c>
    </row>
    <row r="752" spans="1:14" x14ac:dyDescent="0.3">
      <c r="A752">
        <v>255</v>
      </c>
      <c r="B752">
        <v>10058</v>
      </c>
      <c r="C752" t="s">
        <v>278</v>
      </c>
      <c r="D752" t="s">
        <v>10</v>
      </c>
      <c r="E752" t="s">
        <v>24</v>
      </c>
      <c r="F752" t="s">
        <v>17</v>
      </c>
      <c r="G752" t="s">
        <v>18</v>
      </c>
      <c r="H752">
        <v>77377.919999999998</v>
      </c>
      <c r="I752">
        <v>0</v>
      </c>
      <c r="J752" t="str">
        <f t="shared" si="55"/>
        <v>High</v>
      </c>
      <c r="K752" t="str">
        <f t="shared" si="56"/>
        <v>Normal</v>
      </c>
      <c r="L752">
        <f t="shared" si="57"/>
        <v>1</v>
      </c>
      <c r="M752">
        <f t="shared" si="58"/>
        <v>1</v>
      </c>
      <c r="N752" s="6">
        <f t="shared" si="59"/>
        <v>45668</v>
      </c>
    </row>
    <row r="753" spans="1:14" x14ac:dyDescent="0.3">
      <c r="A753">
        <v>256</v>
      </c>
      <c r="B753">
        <v>10069</v>
      </c>
      <c r="C753" t="s">
        <v>279</v>
      </c>
      <c r="D753" t="s">
        <v>10</v>
      </c>
      <c r="E753" t="s">
        <v>11</v>
      </c>
      <c r="F753" t="s">
        <v>17</v>
      </c>
      <c r="G753" t="s">
        <v>31</v>
      </c>
      <c r="H753">
        <v>12427.74</v>
      </c>
      <c r="I753">
        <v>0</v>
      </c>
      <c r="J753" t="str">
        <f t="shared" si="55"/>
        <v>High</v>
      </c>
      <c r="K753" t="str">
        <f t="shared" si="56"/>
        <v>Normal</v>
      </c>
      <c r="L753">
        <f t="shared" si="57"/>
        <v>1</v>
      </c>
      <c r="M753">
        <f t="shared" si="58"/>
        <v>1</v>
      </c>
      <c r="N753" s="6">
        <f t="shared" si="59"/>
        <v>45668</v>
      </c>
    </row>
    <row r="754" spans="1:14" x14ac:dyDescent="0.3">
      <c r="A754">
        <v>257</v>
      </c>
      <c r="B754">
        <v>10079</v>
      </c>
      <c r="C754" t="s">
        <v>280</v>
      </c>
      <c r="D754" t="s">
        <v>20</v>
      </c>
      <c r="E754" t="s">
        <v>24</v>
      </c>
      <c r="F754" t="s">
        <v>12</v>
      </c>
      <c r="G754" t="s">
        <v>31</v>
      </c>
      <c r="H754">
        <v>62669.599999999999</v>
      </c>
      <c r="I754">
        <v>0</v>
      </c>
      <c r="J754" t="str">
        <f t="shared" si="55"/>
        <v>High</v>
      </c>
      <c r="K754" t="str">
        <f t="shared" si="56"/>
        <v>Normal</v>
      </c>
      <c r="L754">
        <f t="shared" si="57"/>
        <v>1</v>
      </c>
      <c r="M754">
        <f t="shared" si="58"/>
        <v>1</v>
      </c>
      <c r="N754" s="6">
        <f t="shared" si="59"/>
        <v>45668</v>
      </c>
    </row>
    <row r="755" spans="1:14" x14ac:dyDescent="0.3">
      <c r="A755">
        <v>258</v>
      </c>
      <c r="B755">
        <v>10092</v>
      </c>
      <c r="C755" t="s">
        <v>281</v>
      </c>
      <c r="D755" t="s">
        <v>15</v>
      </c>
      <c r="E755" t="s">
        <v>16</v>
      </c>
      <c r="F755" t="s">
        <v>12</v>
      </c>
      <c r="G755" t="s">
        <v>25</v>
      </c>
      <c r="H755">
        <v>27919.23</v>
      </c>
      <c r="I755">
        <v>0</v>
      </c>
      <c r="J755" t="str">
        <f t="shared" si="55"/>
        <v>High</v>
      </c>
      <c r="K755" t="str">
        <f t="shared" si="56"/>
        <v>Normal</v>
      </c>
      <c r="L755">
        <f t="shared" si="57"/>
        <v>1</v>
      </c>
      <c r="M755">
        <f t="shared" si="58"/>
        <v>1</v>
      </c>
      <c r="N755" s="6">
        <f t="shared" si="59"/>
        <v>45668</v>
      </c>
    </row>
    <row r="756" spans="1:14" x14ac:dyDescent="0.3">
      <c r="A756">
        <v>259</v>
      </c>
      <c r="B756">
        <v>10002</v>
      </c>
      <c r="C756" t="s">
        <v>282</v>
      </c>
      <c r="D756" t="s">
        <v>10</v>
      </c>
      <c r="E756" t="s">
        <v>24</v>
      </c>
      <c r="F756" t="s">
        <v>12</v>
      </c>
      <c r="G756" t="s">
        <v>13</v>
      </c>
      <c r="H756">
        <v>85312.9</v>
      </c>
      <c r="I756">
        <v>0</v>
      </c>
      <c r="J756" t="str">
        <f t="shared" si="55"/>
        <v>High</v>
      </c>
      <c r="K756" t="str">
        <f t="shared" si="56"/>
        <v>Normal</v>
      </c>
      <c r="L756">
        <f t="shared" si="57"/>
        <v>1</v>
      </c>
      <c r="M756">
        <f t="shared" si="58"/>
        <v>1</v>
      </c>
      <c r="N756" s="6">
        <f t="shared" si="59"/>
        <v>45668</v>
      </c>
    </row>
    <row r="757" spans="1:14" x14ac:dyDescent="0.3">
      <c r="A757">
        <v>260</v>
      </c>
      <c r="B757">
        <v>10019</v>
      </c>
      <c r="C757" t="s">
        <v>283</v>
      </c>
      <c r="D757" t="s">
        <v>23</v>
      </c>
      <c r="E757" t="s">
        <v>24</v>
      </c>
      <c r="F757" t="s">
        <v>17</v>
      </c>
      <c r="G757" t="s">
        <v>18</v>
      </c>
      <c r="H757">
        <v>92845.51</v>
      </c>
      <c r="I757">
        <v>0</v>
      </c>
      <c r="J757" t="str">
        <f t="shared" si="55"/>
        <v>High</v>
      </c>
      <c r="K757" t="str">
        <f t="shared" si="56"/>
        <v>Normal</v>
      </c>
      <c r="L757">
        <f t="shared" si="57"/>
        <v>1</v>
      </c>
      <c r="M757">
        <f t="shared" si="58"/>
        <v>1</v>
      </c>
      <c r="N757" s="6">
        <f t="shared" si="59"/>
        <v>45668</v>
      </c>
    </row>
    <row r="758" spans="1:14" x14ac:dyDescent="0.3">
      <c r="A758">
        <v>261</v>
      </c>
      <c r="B758">
        <v>10058</v>
      </c>
      <c r="C758" t="s">
        <v>284</v>
      </c>
      <c r="D758" t="s">
        <v>20</v>
      </c>
      <c r="E758" t="s">
        <v>24</v>
      </c>
      <c r="F758" t="s">
        <v>12</v>
      </c>
      <c r="G758" t="s">
        <v>25</v>
      </c>
      <c r="H758">
        <v>99640.19</v>
      </c>
      <c r="I758">
        <v>0</v>
      </c>
      <c r="J758" t="str">
        <f t="shared" si="55"/>
        <v>High</v>
      </c>
      <c r="K758" t="str">
        <f t="shared" si="56"/>
        <v>Normal</v>
      </c>
      <c r="L758">
        <f t="shared" si="57"/>
        <v>1</v>
      </c>
      <c r="M758">
        <f t="shared" si="58"/>
        <v>1</v>
      </c>
      <c r="N758" s="6">
        <f t="shared" si="59"/>
        <v>45668</v>
      </c>
    </row>
    <row r="759" spans="1:14" x14ac:dyDescent="0.3">
      <c r="A759">
        <v>262</v>
      </c>
      <c r="B759">
        <v>10035</v>
      </c>
      <c r="C759" t="s">
        <v>285</v>
      </c>
      <c r="D759" t="s">
        <v>15</v>
      </c>
      <c r="E759" t="s">
        <v>16</v>
      </c>
      <c r="F759" t="s">
        <v>17</v>
      </c>
      <c r="G759" t="s">
        <v>31</v>
      </c>
      <c r="H759">
        <v>79621.14</v>
      </c>
      <c r="I759">
        <v>0</v>
      </c>
      <c r="J759" t="str">
        <f t="shared" si="55"/>
        <v>High</v>
      </c>
      <c r="K759" t="str">
        <f t="shared" si="56"/>
        <v>Normal</v>
      </c>
      <c r="L759">
        <f t="shared" si="57"/>
        <v>1</v>
      </c>
      <c r="M759">
        <f t="shared" si="58"/>
        <v>1</v>
      </c>
      <c r="N759" s="6">
        <f t="shared" si="59"/>
        <v>45668</v>
      </c>
    </row>
    <row r="760" spans="1:14" x14ac:dyDescent="0.3">
      <c r="A760">
        <v>263</v>
      </c>
      <c r="B760">
        <v>10018</v>
      </c>
      <c r="C760" t="s">
        <v>286</v>
      </c>
      <c r="D760" t="s">
        <v>29</v>
      </c>
      <c r="E760" t="s">
        <v>24</v>
      </c>
      <c r="F760" t="s">
        <v>17</v>
      </c>
      <c r="G760" t="s">
        <v>25</v>
      </c>
      <c r="H760">
        <v>75398.03</v>
      </c>
      <c r="I760">
        <v>0</v>
      </c>
      <c r="J760" t="str">
        <f t="shared" si="55"/>
        <v>High</v>
      </c>
      <c r="K760" t="str">
        <f t="shared" si="56"/>
        <v>Normal</v>
      </c>
      <c r="L760">
        <f t="shared" si="57"/>
        <v>1</v>
      </c>
      <c r="M760">
        <f t="shared" si="58"/>
        <v>1</v>
      </c>
      <c r="N760" s="6">
        <f t="shared" si="59"/>
        <v>45668</v>
      </c>
    </row>
    <row r="761" spans="1:14" x14ac:dyDescent="0.3">
      <c r="A761">
        <v>264</v>
      </c>
      <c r="B761">
        <v>10089</v>
      </c>
      <c r="C761" t="s">
        <v>287</v>
      </c>
      <c r="D761" t="s">
        <v>23</v>
      </c>
      <c r="E761" t="s">
        <v>24</v>
      </c>
      <c r="F761" t="s">
        <v>17</v>
      </c>
      <c r="G761" t="s">
        <v>13</v>
      </c>
      <c r="H761">
        <v>21628.53</v>
      </c>
      <c r="I761">
        <v>0</v>
      </c>
      <c r="J761" t="str">
        <f t="shared" si="55"/>
        <v>High</v>
      </c>
      <c r="K761" t="str">
        <f t="shared" si="56"/>
        <v>Normal</v>
      </c>
      <c r="L761">
        <f t="shared" si="57"/>
        <v>1</v>
      </c>
      <c r="M761">
        <f t="shared" si="58"/>
        <v>1</v>
      </c>
      <c r="N761" s="6">
        <f t="shared" si="59"/>
        <v>45668</v>
      </c>
    </row>
    <row r="762" spans="1:14" x14ac:dyDescent="0.3">
      <c r="A762">
        <v>217</v>
      </c>
      <c r="B762">
        <v>10011</v>
      </c>
      <c r="C762" t="s">
        <v>240</v>
      </c>
      <c r="D762" t="s">
        <v>23</v>
      </c>
      <c r="E762" t="s">
        <v>16</v>
      </c>
      <c r="F762" t="s">
        <v>12</v>
      </c>
      <c r="G762" t="s">
        <v>25</v>
      </c>
      <c r="H762">
        <v>52055.4</v>
      </c>
      <c r="I762">
        <v>0</v>
      </c>
      <c r="J762" t="str">
        <f t="shared" si="55"/>
        <v>High</v>
      </c>
      <c r="K762" t="str">
        <f t="shared" si="56"/>
        <v>Normal</v>
      </c>
      <c r="L762">
        <f t="shared" si="57"/>
        <v>1</v>
      </c>
      <c r="M762">
        <f t="shared" si="58"/>
        <v>1</v>
      </c>
      <c r="N762" s="6">
        <f t="shared" si="59"/>
        <v>45667</v>
      </c>
    </row>
    <row r="763" spans="1:14" x14ac:dyDescent="0.3">
      <c r="A763">
        <v>218</v>
      </c>
      <c r="B763">
        <v>10038</v>
      </c>
      <c r="C763" t="s">
        <v>241</v>
      </c>
      <c r="D763" t="s">
        <v>23</v>
      </c>
      <c r="E763" t="s">
        <v>11</v>
      </c>
      <c r="F763" t="s">
        <v>17</v>
      </c>
      <c r="G763" t="s">
        <v>21</v>
      </c>
      <c r="H763">
        <v>52243.11</v>
      </c>
      <c r="I763">
        <v>1</v>
      </c>
      <c r="J763" t="str">
        <f t="shared" si="55"/>
        <v>High</v>
      </c>
      <c r="K763" t="str">
        <f t="shared" si="56"/>
        <v>High Risk</v>
      </c>
      <c r="L763">
        <f t="shared" si="57"/>
        <v>1</v>
      </c>
      <c r="M763">
        <f t="shared" si="58"/>
        <v>1</v>
      </c>
      <c r="N763" s="6">
        <f t="shared" si="59"/>
        <v>45667</v>
      </c>
    </row>
    <row r="764" spans="1:14" x14ac:dyDescent="0.3">
      <c r="A764">
        <v>219</v>
      </c>
      <c r="B764">
        <v>10001</v>
      </c>
      <c r="C764" t="s">
        <v>242</v>
      </c>
      <c r="D764" t="s">
        <v>20</v>
      </c>
      <c r="E764" t="s">
        <v>24</v>
      </c>
      <c r="F764" t="s">
        <v>17</v>
      </c>
      <c r="G764" t="s">
        <v>31</v>
      </c>
      <c r="H764">
        <v>58934.41</v>
      </c>
      <c r="I764">
        <v>0</v>
      </c>
      <c r="J764" t="str">
        <f t="shared" si="55"/>
        <v>High</v>
      </c>
      <c r="K764" t="str">
        <f t="shared" si="56"/>
        <v>Normal</v>
      </c>
      <c r="L764">
        <f t="shared" si="57"/>
        <v>1</v>
      </c>
      <c r="M764">
        <f t="shared" si="58"/>
        <v>1</v>
      </c>
      <c r="N764" s="6">
        <f t="shared" si="59"/>
        <v>45667</v>
      </c>
    </row>
    <row r="765" spans="1:14" x14ac:dyDescent="0.3">
      <c r="A765">
        <v>220</v>
      </c>
      <c r="B765">
        <v>10002</v>
      </c>
      <c r="C765" t="s">
        <v>243</v>
      </c>
      <c r="D765" t="s">
        <v>23</v>
      </c>
      <c r="E765" t="s">
        <v>16</v>
      </c>
      <c r="F765" t="s">
        <v>12</v>
      </c>
      <c r="G765" t="s">
        <v>13</v>
      </c>
      <c r="H765">
        <v>75192.45</v>
      </c>
      <c r="I765">
        <v>0</v>
      </c>
      <c r="J765" t="str">
        <f t="shared" si="55"/>
        <v>High</v>
      </c>
      <c r="K765" t="str">
        <f t="shared" si="56"/>
        <v>Normal</v>
      </c>
      <c r="L765">
        <f t="shared" si="57"/>
        <v>1</v>
      </c>
      <c r="M765">
        <f t="shared" si="58"/>
        <v>1</v>
      </c>
      <c r="N765" s="6">
        <f t="shared" si="59"/>
        <v>45667</v>
      </c>
    </row>
    <row r="766" spans="1:14" x14ac:dyDescent="0.3">
      <c r="A766">
        <v>221</v>
      </c>
      <c r="B766">
        <v>10055</v>
      </c>
      <c r="C766" t="s">
        <v>244</v>
      </c>
      <c r="D766" t="s">
        <v>23</v>
      </c>
      <c r="E766" t="s">
        <v>24</v>
      </c>
      <c r="F766" t="s">
        <v>12</v>
      </c>
      <c r="G766" t="s">
        <v>18</v>
      </c>
      <c r="H766">
        <v>62385.440000000002</v>
      </c>
      <c r="I766">
        <v>0</v>
      </c>
      <c r="J766" t="str">
        <f t="shared" si="55"/>
        <v>High</v>
      </c>
      <c r="K766" t="str">
        <f t="shared" si="56"/>
        <v>Normal</v>
      </c>
      <c r="L766">
        <f t="shared" si="57"/>
        <v>1</v>
      </c>
      <c r="M766">
        <f t="shared" si="58"/>
        <v>1</v>
      </c>
      <c r="N766" s="6">
        <f t="shared" si="59"/>
        <v>45667</v>
      </c>
    </row>
    <row r="767" spans="1:14" x14ac:dyDescent="0.3">
      <c r="A767">
        <v>222</v>
      </c>
      <c r="B767">
        <v>10080</v>
      </c>
      <c r="C767" t="s">
        <v>245</v>
      </c>
      <c r="D767" t="s">
        <v>15</v>
      </c>
      <c r="E767" t="s">
        <v>24</v>
      </c>
      <c r="F767" t="s">
        <v>17</v>
      </c>
      <c r="G767" t="s">
        <v>21</v>
      </c>
      <c r="H767">
        <v>60068.12</v>
      </c>
      <c r="I767">
        <v>0</v>
      </c>
      <c r="J767" t="str">
        <f t="shared" si="55"/>
        <v>High</v>
      </c>
      <c r="K767" t="str">
        <f t="shared" si="56"/>
        <v>Normal</v>
      </c>
      <c r="L767">
        <f t="shared" si="57"/>
        <v>1</v>
      </c>
      <c r="M767">
        <f t="shared" si="58"/>
        <v>1</v>
      </c>
      <c r="N767" s="6">
        <f t="shared" si="59"/>
        <v>45667</v>
      </c>
    </row>
    <row r="768" spans="1:14" x14ac:dyDescent="0.3">
      <c r="A768">
        <v>223</v>
      </c>
      <c r="B768">
        <v>10058</v>
      </c>
      <c r="C768" t="s">
        <v>246</v>
      </c>
      <c r="D768" t="s">
        <v>20</v>
      </c>
      <c r="E768" t="s">
        <v>11</v>
      </c>
      <c r="F768" t="s">
        <v>12</v>
      </c>
      <c r="G768" t="s">
        <v>25</v>
      </c>
      <c r="H768">
        <v>5446.09</v>
      </c>
      <c r="I768">
        <v>0</v>
      </c>
      <c r="J768" t="str">
        <f t="shared" si="55"/>
        <v>High</v>
      </c>
      <c r="K768" t="str">
        <f t="shared" si="56"/>
        <v>Normal</v>
      </c>
      <c r="L768">
        <f t="shared" si="57"/>
        <v>1</v>
      </c>
      <c r="M768">
        <f t="shared" si="58"/>
        <v>1</v>
      </c>
      <c r="N768" s="6">
        <f t="shared" si="59"/>
        <v>45667</v>
      </c>
    </row>
    <row r="769" spans="1:14" x14ac:dyDescent="0.3">
      <c r="A769">
        <v>224</v>
      </c>
      <c r="B769">
        <v>10001</v>
      </c>
      <c r="C769" t="s">
        <v>247</v>
      </c>
      <c r="D769" t="s">
        <v>29</v>
      </c>
      <c r="E769" t="s">
        <v>16</v>
      </c>
      <c r="F769" t="s">
        <v>17</v>
      </c>
      <c r="G769" t="s">
        <v>13</v>
      </c>
      <c r="H769">
        <v>37715.379999999997</v>
      </c>
      <c r="I769">
        <v>0</v>
      </c>
      <c r="J769" t="str">
        <f t="shared" si="55"/>
        <v>High</v>
      </c>
      <c r="K769" t="str">
        <f t="shared" si="56"/>
        <v>Normal</v>
      </c>
      <c r="L769">
        <f t="shared" si="57"/>
        <v>1</v>
      </c>
      <c r="M769">
        <f t="shared" si="58"/>
        <v>1</v>
      </c>
      <c r="N769" s="6">
        <f t="shared" si="59"/>
        <v>45667</v>
      </c>
    </row>
    <row r="770" spans="1:14" x14ac:dyDescent="0.3">
      <c r="A770">
        <v>225</v>
      </c>
      <c r="B770">
        <v>10001</v>
      </c>
      <c r="C770" t="s">
        <v>248</v>
      </c>
      <c r="D770" t="s">
        <v>15</v>
      </c>
      <c r="E770" t="s">
        <v>11</v>
      </c>
      <c r="F770" t="s">
        <v>17</v>
      </c>
      <c r="G770" t="s">
        <v>25</v>
      </c>
      <c r="H770">
        <v>23282.37</v>
      </c>
      <c r="I770">
        <v>0</v>
      </c>
      <c r="J770" t="str">
        <f t="shared" ref="J770:J833" si="60">IF(E770&gt;50000,"High","Normal")</f>
        <v>High</v>
      </c>
      <c r="K770" t="str">
        <f t="shared" ref="K770:K833" si="61">IF(AND(H770&gt;50000,E770="Online"),"High Risk","Normal")</f>
        <v>Normal</v>
      </c>
      <c r="L770">
        <f t="shared" ref="L770:L833" si="62">COUNTIFS(C:C,C770,B:B,B770)</f>
        <v>1</v>
      </c>
      <c r="M770">
        <f t="shared" ref="M770:M833" si="63">IF(E770&gt;50000,1,0) + IF(H770="Unusual",1,0) + IF(I770&gt;3,1,0)</f>
        <v>1</v>
      </c>
      <c r="N770" s="6">
        <f t="shared" ref="N770:N833" si="64">INT(C770)</f>
        <v>45667</v>
      </c>
    </row>
    <row r="771" spans="1:14" x14ac:dyDescent="0.3">
      <c r="A771">
        <v>226</v>
      </c>
      <c r="B771">
        <v>10091</v>
      </c>
      <c r="C771" t="s">
        <v>249</v>
      </c>
      <c r="D771" t="s">
        <v>15</v>
      </c>
      <c r="E771" t="s">
        <v>11</v>
      </c>
      <c r="F771" t="s">
        <v>17</v>
      </c>
      <c r="G771" t="s">
        <v>25</v>
      </c>
      <c r="H771">
        <v>26610.47</v>
      </c>
      <c r="I771">
        <v>0</v>
      </c>
      <c r="J771" t="str">
        <f t="shared" si="60"/>
        <v>High</v>
      </c>
      <c r="K771" t="str">
        <f t="shared" si="61"/>
        <v>Normal</v>
      </c>
      <c r="L771">
        <f t="shared" si="62"/>
        <v>1</v>
      </c>
      <c r="M771">
        <f t="shared" si="63"/>
        <v>1</v>
      </c>
      <c r="N771" s="6">
        <f t="shared" si="64"/>
        <v>45667</v>
      </c>
    </row>
    <row r="772" spans="1:14" x14ac:dyDescent="0.3">
      <c r="A772">
        <v>227</v>
      </c>
      <c r="B772">
        <v>10053</v>
      </c>
      <c r="C772" t="s">
        <v>250</v>
      </c>
      <c r="D772" t="s">
        <v>29</v>
      </c>
      <c r="E772" t="s">
        <v>16</v>
      </c>
      <c r="F772" t="s">
        <v>12</v>
      </c>
      <c r="G772" t="s">
        <v>31</v>
      </c>
      <c r="H772">
        <v>55478.31</v>
      </c>
      <c r="I772">
        <v>0</v>
      </c>
      <c r="J772" t="str">
        <f t="shared" si="60"/>
        <v>High</v>
      </c>
      <c r="K772" t="str">
        <f t="shared" si="61"/>
        <v>Normal</v>
      </c>
      <c r="L772">
        <f t="shared" si="62"/>
        <v>1</v>
      </c>
      <c r="M772">
        <f t="shared" si="63"/>
        <v>1</v>
      </c>
      <c r="N772" s="6">
        <f t="shared" si="64"/>
        <v>45667</v>
      </c>
    </row>
    <row r="773" spans="1:14" x14ac:dyDescent="0.3">
      <c r="A773">
        <v>228</v>
      </c>
      <c r="B773">
        <v>10086</v>
      </c>
      <c r="C773" t="s">
        <v>251</v>
      </c>
      <c r="D773" t="s">
        <v>23</v>
      </c>
      <c r="E773" t="s">
        <v>16</v>
      </c>
      <c r="F773" t="s">
        <v>17</v>
      </c>
      <c r="G773" t="s">
        <v>31</v>
      </c>
      <c r="H773">
        <v>20030.580000000002</v>
      </c>
      <c r="I773">
        <v>0</v>
      </c>
      <c r="J773" t="str">
        <f t="shared" si="60"/>
        <v>High</v>
      </c>
      <c r="K773" t="str">
        <f t="shared" si="61"/>
        <v>Normal</v>
      </c>
      <c r="L773">
        <f t="shared" si="62"/>
        <v>1</v>
      </c>
      <c r="M773">
        <f t="shared" si="63"/>
        <v>1</v>
      </c>
      <c r="N773" s="6">
        <f t="shared" si="64"/>
        <v>45667</v>
      </c>
    </row>
    <row r="774" spans="1:14" x14ac:dyDescent="0.3">
      <c r="A774">
        <v>229</v>
      </c>
      <c r="B774">
        <v>10095</v>
      </c>
      <c r="C774" t="s">
        <v>252</v>
      </c>
      <c r="D774" t="s">
        <v>10</v>
      </c>
      <c r="E774" t="s">
        <v>24</v>
      </c>
      <c r="F774" t="s">
        <v>12</v>
      </c>
      <c r="G774" t="s">
        <v>13</v>
      </c>
      <c r="H774">
        <v>29465.52</v>
      </c>
      <c r="I774">
        <v>0</v>
      </c>
      <c r="J774" t="str">
        <f t="shared" si="60"/>
        <v>High</v>
      </c>
      <c r="K774" t="str">
        <f t="shared" si="61"/>
        <v>Normal</v>
      </c>
      <c r="L774">
        <f t="shared" si="62"/>
        <v>1</v>
      </c>
      <c r="M774">
        <f t="shared" si="63"/>
        <v>1</v>
      </c>
      <c r="N774" s="6">
        <f t="shared" si="64"/>
        <v>45667</v>
      </c>
    </row>
    <row r="775" spans="1:14" x14ac:dyDescent="0.3">
      <c r="A775">
        <v>230</v>
      </c>
      <c r="B775">
        <v>10096</v>
      </c>
      <c r="C775" t="s">
        <v>253</v>
      </c>
      <c r="D775" t="s">
        <v>20</v>
      </c>
      <c r="E775" t="s">
        <v>16</v>
      </c>
      <c r="F775" t="s">
        <v>17</v>
      </c>
      <c r="G775" t="s">
        <v>18</v>
      </c>
      <c r="H775">
        <v>23784.76</v>
      </c>
      <c r="I775">
        <v>0</v>
      </c>
      <c r="J775" t="str">
        <f t="shared" si="60"/>
        <v>High</v>
      </c>
      <c r="K775" t="str">
        <f t="shared" si="61"/>
        <v>Normal</v>
      </c>
      <c r="L775">
        <f t="shared" si="62"/>
        <v>1</v>
      </c>
      <c r="M775">
        <f t="shared" si="63"/>
        <v>1</v>
      </c>
      <c r="N775" s="6">
        <f t="shared" si="64"/>
        <v>45667</v>
      </c>
    </row>
    <row r="776" spans="1:14" x14ac:dyDescent="0.3">
      <c r="A776">
        <v>231</v>
      </c>
      <c r="B776">
        <v>10000</v>
      </c>
      <c r="C776" t="s">
        <v>254</v>
      </c>
      <c r="D776" t="s">
        <v>10</v>
      </c>
      <c r="E776" t="s">
        <v>24</v>
      </c>
      <c r="F776" t="s">
        <v>12</v>
      </c>
      <c r="G776" t="s">
        <v>13</v>
      </c>
      <c r="H776">
        <v>94855.44</v>
      </c>
      <c r="I776">
        <v>0</v>
      </c>
      <c r="J776" t="str">
        <f t="shared" si="60"/>
        <v>High</v>
      </c>
      <c r="K776" t="str">
        <f t="shared" si="61"/>
        <v>Normal</v>
      </c>
      <c r="L776">
        <f t="shared" si="62"/>
        <v>1</v>
      </c>
      <c r="M776">
        <f t="shared" si="63"/>
        <v>1</v>
      </c>
      <c r="N776" s="6">
        <f t="shared" si="64"/>
        <v>45667</v>
      </c>
    </row>
    <row r="777" spans="1:14" x14ac:dyDescent="0.3">
      <c r="A777">
        <v>232</v>
      </c>
      <c r="B777">
        <v>10018</v>
      </c>
      <c r="C777" t="s">
        <v>255</v>
      </c>
      <c r="D777" t="s">
        <v>29</v>
      </c>
      <c r="E777" t="s">
        <v>24</v>
      </c>
      <c r="F777" t="s">
        <v>12</v>
      </c>
      <c r="G777" t="s">
        <v>18</v>
      </c>
      <c r="H777">
        <v>94472.11</v>
      </c>
      <c r="I777">
        <v>0</v>
      </c>
      <c r="J777" t="str">
        <f t="shared" si="60"/>
        <v>High</v>
      </c>
      <c r="K777" t="str">
        <f t="shared" si="61"/>
        <v>Normal</v>
      </c>
      <c r="L777">
        <f t="shared" si="62"/>
        <v>1</v>
      </c>
      <c r="M777">
        <f t="shared" si="63"/>
        <v>1</v>
      </c>
      <c r="N777" s="6">
        <f t="shared" si="64"/>
        <v>45667</v>
      </c>
    </row>
    <row r="778" spans="1:14" x14ac:dyDescent="0.3">
      <c r="A778">
        <v>233</v>
      </c>
      <c r="B778">
        <v>10001</v>
      </c>
      <c r="C778" t="s">
        <v>256</v>
      </c>
      <c r="D778" t="s">
        <v>15</v>
      </c>
      <c r="E778" t="s">
        <v>24</v>
      </c>
      <c r="F778" t="s">
        <v>12</v>
      </c>
      <c r="G778" t="s">
        <v>25</v>
      </c>
      <c r="H778">
        <v>61033.16</v>
      </c>
      <c r="I778">
        <v>0</v>
      </c>
      <c r="J778" t="str">
        <f t="shared" si="60"/>
        <v>High</v>
      </c>
      <c r="K778" t="str">
        <f t="shared" si="61"/>
        <v>Normal</v>
      </c>
      <c r="L778">
        <f t="shared" si="62"/>
        <v>1</v>
      </c>
      <c r="M778">
        <f t="shared" si="63"/>
        <v>1</v>
      </c>
      <c r="N778" s="6">
        <f t="shared" si="64"/>
        <v>45667</v>
      </c>
    </row>
    <row r="779" spans="1:14" x14ac:dyDescent="0.3">
      <c r="A779">
        <v>234</v>
      </c>
      <c r="B779">
        <v>10052</v>
      </c>
      <c r="C779" t="s">
        <v>257</v>
      </c>
      <c r="D779" t="s">
        <v>15</v>
      </c>
      <c r="E779" t="s">
        <v>16</v>
      </c>
      <c r="F779" t="s">
        <v>17</v>
      </c>
      <c r="G779" t="s">
        <v>21</v>
      </c>
      <c r="H779">
        <v>92459.79</v>
      </c>
      <c r="I779">
        <v>0</v>
      </c>
      <c r="J779" t="str">
        <f t="shared" si="60"/>
        <v>High</v>
      </c>
      <c r="K779" t="str">
        <f t="shared" si="61"/>
        <v>Normal</v>
      </c>
      <c r="L779">
        <f t="shared" si="62"/>
        <v>1</v>
      </c>
      <c r="M779">
        <f t="shared" si="63"/>
        <v>1</v>
      </c>
      <c r="N779" s="6">
        <f t="shared" si="64"/>
        <v>45667</v>
      </c>
    </row>
    <row r="780" spans="1:14" x14ac:dyDescent="0.3">
      <c r="A780">
        <v>235</v>
      </c>
      <c r="B780">
        <v>10043</v>
      </c>
      <c r="C780" t="s">
        <v>258</v>
      </c>
      <c r="D780" t="s">
        <v>20</v>
      </c>
      <c r="E780" t="s">
        <v>11</v>
      </c>
      <c r="F780" t="s">
        <v>17</v>
      </c>
      <c r="G780" t="s">
        <v>13</v>
      </c>
      <c r="H780">
        <v>78602.679999999993</v>
      </c>
      <c r="I780">
        <v>1</v>
      </c>
      <c r="J780" t="str">
        <f t="shared" si="60"/>
        <v>High</v>
      </c>
      <c r="K780" t="str">
        <f t="shared" si="61"/>
        <v>High Risk</v>
      </c>
      <c r="L780">
        <f t="shared" si="62"/>
        <v>1</v>
      </c>
      <c r="M780">
        <f t="shared" si="63"/>
        <v>1</v>
      </c>
      <c r="N780" s="6">
        <f t="shared" si="64"/>
        <v>45667</v>
      </c>
    </row>
    <row r="781" spans="1:14" x14ac:dyDescent="0.3">
      <c r="A781">
        <v>236</v>
      </c>
      <c r="B781">
        <v>10089</v>
      </c>
      <c r="C781" t="s">
        <v>259</v>
      </c>
      <c r="D781" t="s">
        <v>15</v>
      </c>
      <c r="E781" t="s">
        <v>24</v>
      </c>
      <c r="F781" t="s">
        <v>12</v>
      </c>
      <c r="G781" t="s">
        <v>13</v>
      </c>
      <c r="H781">
        <v>59035.79</v>
      </c>
      <c r="I781">
        <v>0</v>
      </c>
      <c r="J781" t="str">
        <f t="shared" si="60"/>
        <v>High</v>
      </c>
      <c r="K781" t="str">
        <f t="shared" si="61"/>
        <v>Normal</v>
      </c>
      <c r="L781">
        <f t="shared" si="62"/>
        <v>1</v>
      </c>
      <c r="M781">
        <f t="shared" si="63"/>
        <v>1</v>
      </c>
      <c r="N781" s="6">
        <f t="shared" si="64"/>
        <v>45667</v>
      </c>
    </row>
    <row r="782" spans="1:14" x14ac:dyDescent="0.3">
      <c r="A782">
        <v>237</v>
      </c>
      <c r="B782">
        <v>10031</v>
      </c>
      <c r="C782" t="s">
        <v>260</v>
      </c>
      <c r="D782" t="s">
        <v>15</v>
      </c>
      <c r="E782" t="s">
        <v>11</v>
      </c>
      <c r="F782" t="s">
        <v>12</v>
      </c>
      <c r="G782" t="s">
        <v>18</v>
      </c>
      <c r="H782">
        <v>742.88</v>
      </c>
      <c r="I782">
        <v>0</v>
      </c>
      <c r="J782" t="str">
        <f t="shared" si="60"/>
        <v>High</v>
      </c>
      <c r="K782" t="str">
        <f t="shared" si="61"/>
        <v>Normal</v>
      </c>
      <c r="L782">
        <f t="shared" si="62"/>
        <v>1</v>
      </c>
      <c r="M782">
        <f t="shared" si="63"/>
        <v>1</v>
      </c>
      <c r="N782" s="6">
        <f t="shared" si="64"/>
        <v>45667</v>
      </c>
    </row>
    <row r="783" spans="1:14" x14ac:dyDescent="0.3">
      <c r="A783">
        <v>238</v>
      </c>
      <c r="B783">
        <v>10069</v>
      </c>
      <c r="C783" t="s">
        <v>261</v>
      </c>
      <c r="D783" t="s">
        <v>20</v>
      </c>
      <c r="E783" t="s">
        <v>11</v>
      </c>
      <c r="F783" t="s">
        <v>12</v>
      </c>
      <c r="G783" t="s">
        <v>25</v>
      </c>
      <c r="H783">
        <v>77274.38</v>
      </c>
      <c r="I783">
        <v>1</v>
      </c>
      <c r="J783" t="str">
        <f t="shared" si="60"/>
        <v>High</v>
      </c>
      <c r="K783" t="str">
        <f t="shared" si="61"/>
        <v>High Risk</v>
      </c>
      <c r="L783">
        <f t="shared" si="62"/>
        <v>1</v>
      </c>
      <c r="M783">
        <f t="shared" si="63"/>
        <v>1</v>
      </c>
      <c r="N783" s="6">
        <f t="shared" si="64"/>
        <v>45667</v>
      </c>
    </row>
    <row r="784" spans="1:14" x14ac:dyDescent="0.3">
      <c r="A784">
        <v>239</v>
      </c>
      <c r="B784">
        <v>10031</v>
      </c>
      <c r="C784" t="s">
        <v>262</v>
      </c>
      <c r="D784" t="s">
        <v>20</v>
      </c>
      <c r="E784" t="s">
        <v>16</v>
      </c>
      <c r="F784" t="s">
        <v>17</v>
      </c>
      <c r="G784" t="s">
        <v>25</v>
      </c>
      <c r="H784">
        <v>70278.59</v>
      </c>
      <c r="I784">
        <v>0</v>
      </c>
      <c r="J784" t="str">
        <f t="shared" si="60"/>
        <v>High</v>
      </c>
      <c r="K784" t="str">
        <f t="shared" si="61"/>
        <v>Normal</v>
      </c>
      <c r="L784">
        <f t="shared" si="62"/>
        <v>1</v>
      </c>
      <c r="M784">
        <f t="shared" si="63"/>
        <v>1</v>
      </c>
      <c r="N784" s="6">
        <f t="shared" si="64"/>
        <v>45667</v>
      </c>
    </row>
    <row r="785" spans="1:14" x14ac:dyDescent="0.3">
      <c r="A785">
        <v>240</v>
      </c>
      <c r="B785">
        <v>10067</v>
      </c>
      <c r="C785" t="s">
        <v>263</v>
      </c>
      <c r="D785" t="s">
        <v>29</v>
      </c>
      <c r="E785" t="s">
        <v>11</v>
      </c>
      <c r="F785" t="s">
        <v>17</v>
      </c>
      <c r="G785" t="s">
        <v>18</v>
      </c>
      <c r="H785">
        <v>61563.839999999997</v>
      </c>
      <c r="I785">
        <v>1</v>
      </c>
      <c r="J785" t="str">
        <f t="shared" si="60"/>
        <v>High</v>
      </c>
      <c r="K785" t="str">
        <f t="shared" si="61"/>
        <v>High Risk</v>
      </c>
      <c r="L785">
        <f t="shared" si="62"/>
        <v>1</v>
      </c>
      <c r="M785">
        <f t="shared" si="63"/>
        <v>1</v>
      </c>
      <c r="N785" s="6">
        <f t="shared" si="64"/>
        <v>45667</v>
      </c>
    </row>
    <row r="786" spans="1:14" x14ac:dyDescent="0.3">
      <c r="A786">
        <v>193</v>
      </c>
      <c r="B786">
        <v>10000</v>
      </c>
      <c r="C786" t="s">
        <v>216</v>
      </c>
      <c r="D786" t="s">
        <v>15</v>
      </c>
      <c r="E786" t="s">
        <v>16</v>
      </c>
      <c r="F786" t="s">
        <v>12</v>
      </c>
      <c r="G786" t="s">
        <v>18</v>
      </c>
      <c r="H786">
        <v>74186.100000000006</v>
      </c>
      <c r="I786">
        <v>0</v>
      </c>
      <c r="J786" t="str">
        <f t="shared" si="60"/>
        <v>High</v>
      </c>
      <c r="K786" t="str">
        <f t="shared" si="61"/>
        <v>Normal</v>
      </c>
      <c r="L786">
        <f t="shared" si="62"/>
        <v>1</v>
      </c>
      <c r="M786">
        <f t="shared" si="63"/>
        <v>1</v>
      </c>
      <c r="N786" s="6">
        <f t="shared" si="64"/>
        <v>45666</v>
      </c>
    </row>
    <row r="787" spans="1:14" x14ac:dyDescent="0.3">
      <c r="A787">
        <v>194</v>
      </c>
      <c r="B787">
        <v>10026</v>
      </c>
      <c r="C787" t="s">
        <v>217</v>
      </c>
      <c r="D787" t="s">
        <v>15</v>
      </c>
      <c r="E787" t="s">
        <v>11</v>
      </c>
      <c r="F787" t="s">
        <v>12</v>
      </c>
      <c r="G787" t="s">
        <v>18</v>
      </c>
      <c r="H787">
        <v>28013.65</v>
      </c>
      <c r="I787">
        <v>0</v>
      </c>
      <c r="J787" t="str">
        <f t="shared" si="60"/>
        <v>High</v>
      </c>
      <c r="K787" t="str">
        <f t="shared" si="61"/>
        <v>Normal</v>
      </c>
      <c r="L787">
        <f t="shared" si="62"/>
        <v>1</v>
      </c>
      <c r="M787">
        <f t="shared" si="63"/>
        <v>1</v>
      </c>
      <c r="N787" s="6">
        <f t="shared" si="64"/>
        <v>45666</v>
      </c>
    </row>
    <row r="788" spans="1:14" x14ac:dyDescent="0.3">
      <c r="A788">
        <v>195</v>
      </c>
      <c r="B788">
        <v>10061</v>
      </c>
      <c r="C788" t="s">
        <v>218</v>
      </c>
      <c r="D788" t="s">
        <v>23</v>
      </c>
      <c r="E788" t="s">
        <v>16</v>
      </c>
      <c r="F788" t="s">
        <v>17</v>
      </c>
      <c r="G788" t="s">
        <v>25</v>
      </c>
      <c r="H788">
        <v>13252.19</v>
      </c>
      <c r="I788">
        <v>0</v>
      </c>
      <c r="J788" t="str">
        <f t="shared" si="60"/>
        <v>High</v>
      </c>
      <c r="K788" t="str">
        <f t="shared" si="61"/>
        <v>Normal</v>
      </c>
      <c r="L788">
        <f t="shared" si="62"/>
        <v>1</v>
      </c>
      <c r="M788">
        <f t="shared" si="63"/>
        <v>1</v>
      </c>
      <c r="N788" s="6">
        <f t="shared" si="64"/>
        <v>45666</v>
      </c>
    </row>
    <row r="789" spans="1:14" x14ac:dyDescent="0.3">
      <c r="A789">
        <v>196</v>
      </c>
      <c r="B789">
        <v>10076</v>
      </c>
      <c r="C789" t="s">
        <v>219</v>
      </c>
      <c r="D789" t="s">
        <v>29</v>
      </c>
      <c r="E789" t="s">
        <v>24</v>
      </c>
      <c r="F789" t="s">
        <v>12</v>
      </c>
      <c r="G789" t="s">
        <v>25</v>
      </c>
      <c r="H789">
        <v>85484.87</v>
      </c>
      <c r="I789">
        <v>0</v>
      </c>
      <c r="J789" t="str">
        <f t="shared" si="60"/>
        <v>High</v>
      </c>
      <c r="K789" t="str">
        <f t="shared" si="61"/>
        <v>Normal</v>
      </c>
      <c r="L789">
        <f t="shared" si="62"/>
        <v>1</v>
      </c>
      <c r="M789">
        <f t="shared" si="63"/>
        <v>1</v>
      </c>
      <c r="N789" s="6">
        <f t="shared" si="64"/>
        <v>45666</v>
      </c>
    </row>
    <row r="790" spans="1:14" x14ac:dyDescent="0.3">
      <c r="A790">
        <v>197</v>
      </c>
      <c r="B790">
        <v>10002</v>
      </c>
      <c r="C790" t="s">
        <v>220</v>
      </c>
      <c r="D790" t="s">
        <v>15</v>
      </c>
      <c r="E790" t="s">
        <v>11</v>
      </c>
      <c r="F790" t="s">
        <v>17</v>
      </c>
      <c r="G790" t="s">
        <v>18</v>
      </c>
      <c r="H790">
        <v>16613.7</v>
      </c>
      <c r="I790">
        <v>0</v>
      </c>
      <c r="J790" t="str">
        <f t="shared" si="60"/>
        <v>High</v>
      </c>
      <c r="K790" t="str">
        <f t="shared" si="61"/>
        <v>Normal</v>
      </c>
      <c r="L790">
        <f t="shared" si="62"/>
        <v>1</v>
      </c>
      <c r="M790">
        <f t="shared" si="63"/>
        <v>1</v>
      </c>
      <c r="N790" s="6">
        <f t="shared" si="64"/>
        <v>45666</v>
      </c>
    </row>
    <row r="791" spans="1:14" x14ac:dyDescent="0.3">
      <c r="A791">
        <v>198</v>
      </c>
      <c r="B791">
        <v>10069</v>
      </c>
      <c r="C791" t="s">
        <v>221</v>
      </c>
      <c r="D791" t="s">
        <v>29</v>
      </c>
      <c r="E791" t="s">
        <v>16</v>
      </c>
      <c r="F791" t="s">
        <v>12</v>
      </c>
      <c r="G791" t="s">
        <v>13</v>
      </c>
      <c r="H791">
        <v>85440.65</v>
      </c>
      <c r="I791">
        <v>0</v>
      </c>
      <c r="J791" t="str">
        <f t="shared" si="60"/>
        <v>High</v>
      </c>
      <c r="K791" t="str">
        <f t="shared" si="61"/>
        <v>Normal</v>
      </c>
      <c r="L791">
        <f t="shared" si="62"/>
        <v>1</v>
      </c>
      <c r="M791">
        <f t="shared" si="63"/>
        <v>1</v>
      </c>
      <c r="N791" s="6">
        <f t="shared" si="64"/>
        <v>45666</v>
      </c>
    </row>
    <row r="792" spans="1:14" x14ac:dyDescent="0.3">
      <c r="A792">
        <v>199</v>
      </c>
      <c r="B792">
        <v>10071</v>
      </c>
      <c r="C792" t="s">
        <v>222</v>
      </c>
      <c r="D792" t="s">
        <v>15</v>
      </c>
      <c r="E792" t="s">
        <v>11</v>
      </c>
      <c r="F792" t="s">
        <v>17</v>
      </c>
      <c r="G792" t="s">
        <v>18</v>
      </c>
      <c r="H792">
        <v>49127.42</v>
      </c>
      <c r="I792">
        <v>0</v>
      </c>
      <c r="J792" t="str">
        <f t="shared" si="60"/>
        <v>High</v>
      </c>
      <c r="K792" t="str">
        <f t="shared" si="61"/>
        <v>Normal</v>
      </c>
      <c r="L792">
        <f t="shared" si="62"/>
        <v>1</v>
      </c>
      <c r="M792">
        <f t="shared" si="63"/>
        <v>1</v>
      </c>
      <c r="N792" s="6">
        <f t="shared" si="64"/>
        <v>45666</v>
      </c>
    </row>
    <row r="793" spans="1:14" x14ac:dyDescent="0.3">
      <c r="A793">
        <v>200</v>
      </c>
      <c r="B793">
        <v>10026</v>
      </c>
      <c r="C793" t="s">
        <v>223</v>
      </c>
      <c r="D793" t="s">
        <v>10</v>
      </c>
      <c r="E793" t="s">
        <v>11</v>
      </c>
      <c r="F793" t="s">
        <v>12</v>
      </c>
      <c r="G793" t="s">
        <v>31</v>
      </c>
      <c r="H793">
        <v>40715.019999999997</v>
      </c>
      <c r="I793">
        <v>0</v>
      </c>
      <c r="J793" t="str">
        <f t="shared" si="60"/>
        <v>High</v>
      </c>
      <c r="K793" t="str">
        <f t="shared" si="61"/>
        <v>Normal</v>
      </c>
      <c r="L793">
        <f t="shared" si="62"/>
        <v>1</v>
      </c>
      <c r="M793">
        <f t="shared" si="63"/>
        <v>1</v>
      </c>
      <c r="N793" s="6">
        <f t="shared" si="64"/>
        <v>45666</v>
      </c>
    </row>
    <row r="794" spans="1:14" x14ac:dyDescent="0.3">
      <c r="A794">
        <v>201</v>
      </c>
      <c r="B794">
        <v>10008</v>
      </c>
      <c r="C794" t="s">
        <v>224</v>
      </c>
      <c r="D794" t="s">
        <v>20</v>
      </c>
      <c r="E794" t="s">
        <v>24</v>
      </c>
      <c r="F794" t="s">
        <v>12</v>
      </c>
      <c r="G794" t="s">
        <v>18</v>
      </c>
      <c r="H794">
        <v>90328.76</v>
      </c>
      <c r="I794">
        <v>0</v>
      </c>
      <c r="J794" t="str">
        <f t="shared" si="60"/>
        <v>High</v>
      </c>
      <c r="K794" t="str">
        <f t="shared" si="61"/>
        <v>Normal</v>
      </c>
      <c r="L794">
        <f t="shared" si="62"/>
        <v>1</v>
      </c>
      <c r="M794">
        <f t="shared" si="63"/>
        <v>1</v>
      </c>
      <c r="N794" s="6">
        <f t="shared" si="64"/>
        <v>45666</v>
      </c>
    </row>
    <row r="795" spans="1:14" x14ac:dyDescent="0.3">
      <c r="A795">
        <v>202</v>
      </c>
      <c r="B795">
        <v>10061</v>
      </c>
      <c r="C795" t="s">
        <v>225</v>
      </c>
      <c r="D795" t="s">
        <v>15</v>
      </c>
      <c r="E795" t="s">
        <v>11</v>
      </c>
      <c r="F795" t="s">
        <v>17</v>
      </c>
      <c r="G795" t="s">
        <v>13</v>
      </c>
      <c r="H795">
        <v>60424.71</v>
      </c>
      <c r="I795">
        <v>1</v>
      </c>
      <c r="J795" t="str">
        <f t="shared" si="60"/>
        <v>High</v>
      </c>
      <c r="K795" t="str">
        <f t="shared" si="61"/>
        <v>High Risk</v>
      </c>
      <c r="L795">
        <f t="shared" si="62"/>
        <v>1</v>
      </c>
      <c r="M795">
        <f t="shared" si="63"/>
        <v>1</v>
      </c>
      <c r="N795" s="6">
        <f t="shared" si="64"/>
        <v>45666</v>
      </c>
    </row>
    <row r="796" spans="1:14" x14ac:dyDescent="0.3">
      <c r="A796">
        <v>203</v>
      </c>
      <c r="B796">
        <v>10036</v>
      </c>
      <c r="C796" t="s">
        <v>226</v>
      </c>
      <c r="D796" t="s">
        <v>29</v>
      </c>
      <c r="E796" t="s">
        <v>16</v>
      </c>
      <c r="F796" t="s">
        <v>12</v>
      </c>
      <c r="G796" t="s">
        <v>31</v>
      </c>
      <c r="H796">
        <v>57703.74</v>
      </c>
      <c r="I796">
        <v>0</v>
      </c>
      <c r="J796" t="str">
        <f t="shared" si="60"/>
        <v>High</v>
      </c>
      <c r="K796" t="str">
        <f t="shared" si="61"/>
        <v>Normal</v>
      </c>
      <c r="L796">
        <f t="shared" si="62"/>
        <v>1</v>
      </c>
      <c r="M796">
        <f t="shared" si="63"/>
        <v>1</v>
      </c>
      <c r="N796" s="6">
        <f t="shared" si="64"/>
        <v>45666</v>
      </c>
    </row>
    <row r="797" spans="1:14" x14ac:dyDescent="0.3">
      <c r="A797">
        <v>204</v>
      </c>
      <c r="B797">
        <v>10096</v>
      </c>
      <c r="C797" t="s">
        <v>227</v>
      </c>
      <c r="D797" t="s">
        <v>10</v>
      </c>
      <c r="E797" t="s">
        <v>16</v>
      </c>
      <c r="F797" t="s">
        <v>17</v>
      </c>
      <c r="G797" t="s">
        <v>21</v>
      </c>
      <c r="H797">
        <v>55920.72</v>
      </c>
      <c r="I797">
        <v>0</v>
      </c>
      <c r="J797" t="str">
        <f t="shared" si="60"/>
        <v>High</v>
      </c>
      <c r="K797" t="str">
        <f t="shared" si="61"/>
        <v>Normal</v>
      </c>
      <c r="L797">
        <f t="shared" si="62"/>
        <v>1</v>
      </c>
      <c r="M797">
        <f t="shared" si="63"/>
        <v>1</v>
      </c>
      <c r="N797" s="6">
        <f t="shared" si="64"/>
        <v>45666</v>
      </c>
    </row>
    <row r="798" spans="1:14" x14ac:dyDescent="0.3">
      <c r="A798">
        <v>205</v>
      </c>
      <c r="B798">
        <v>10050</v>
      </c>
      <c r="C798" t="s">
        <v>228</v>
      </c>
      <c r="D798" t="s">
        <v>15</v>
      </c>
      <c r="E798" t="s">
        <v>16</v>
      </c>
      <c r="F798" t="s">
        <v>17</v>
      </c>
      <c r="G798" t="s">
        <v>21</v>
      </c>
      <c r="H798">
        <v>37179.83</v>
      </c>
      <c r="I798">
        <v>0</v>
      </c>
      <c r="J798" t="str">
        <f t="shared" si="60"/>
        <v>High</v>
      </c>
      <c r="K798" t="str">
        <f t="shared" si="61"/>
        <v>Normal</v>
      </c>
      <c r="L798">
        <f t="shared" si="62"/>
        <v>1</v>
      </c>
      <c r="M798">
        <f t="shared" si="63"/>
        <v>1</v>
      </c>
      <c r="N798" s="6">
        <f t="shared" si="64"/>
        <v>45666</v>
      </c>
    </row>
    <row r="799" spans="1:14" x14ac:dyDescent="0.3">
      <c r="A799">
        <v>206</v>
      </c>
      <c r="B799">
        <v>10043</v>
      </c>
      <c r="C799" t="s">
        <v>229</v>
      </c>
      <c r="D799" t="s">
        <v>23</v>
      </c>
      <c r="E799" t="s">
        <v>16</v>
      </c>
      <c r="F799" t="s">
        <v>17</v>
      </c>
      <c r="G799" t="s">
        <v>13</v>
      </c>
      <c r="H799">
        <v>78585.75</v>
      </c>
      <c r="I799">
        <v>0</v>
      </c>
      <c r="J799" t="str">
        <f t="shared" si="60"/>
        <v>High</v>
      </c>
      <c r="K799" t="str">
        <f t="shared" si="61"/>
        <v>Normal</v>
      </c>
      <c r="L799">
        <f t="shared" si="62"/>
        <v>1</v>
      </c>
      <c r="M799">
        <f t="shared" si="63"/>
        <v>1</v>
      </c>
      <c r="N799" s="6">
        <f t="shared" si="64"/>
        <v>45666</v>
      </c>
    </row>
    <row r="800" spans="1:14" x14ac:dyDescent="0.3">
      <c r="A800">
        <v>207</v>
      </c>
      <c r="B800">
        <v>10023</v>
      </c>
      <c r="C800" t="s">
        <v>230</v>
      </c>
      <c r="D800" t="s">
        <v>20</v>
      </c>
      <c r="E800" t="s">
        <v>24</v>
      </c>
      <c r="F800" t="s">
        <v>17</v>
      </c>
      <c r="G800" t="s">
        <v>18</v>
      </c>
      <c r="H800">
        <v>25354.560000000001</v>
      </c>
      <c r="I800">
        <v>0</v>
      </c>
      <c r="J800" t="str">
        <f t="shared" si="60"/>
        <v>High</v>
      </c>
      <c r="K800" t="str">
        <f t="shared" si="61"/>
        <v>Normal</v>
      </c>
      <c r="L800">
        <f t="shared" si="62"/>
        <v>1</v>
      </c>
      <c r="M800">
        <f t="shared" si="63"/>
        <v>1</v>
      </c>
      <c r="N800" s="6">
        <f t="shared" si="64"/>
        <v>45666</v>
      </c>
    </row>
    <row r="801" spans="1:14" x14ac:dyDescent="0.3">
      <c r="A801">
        <v>208</v>
      </c>
      <c r="B801">
        <v>10078</v>
      </c>
      <c r="C801" t="s">
        <v>231</v>
      </c>
      <c r="D801" t="s">
        <v>15</v>
      </c>
      <c r="E801" t="s">
        <v>11</v>
      </c>
      <c r="F801" t="s">
        <v>17</v>
      </c>
      <c r="G801" t="s">
        <v>25</v>
      </c>
      <c r="H801">
        <v>93895.61</v>
      </c>
      <c r="I801">
        <v>1</v>
      </c>
      <c r="J801" t="str">
        <f t="shared" si="60"/>
        <v>High</v>
      </c>
      <c r="K801" t="str">
        <f t="shared" si="61"/>
        <v>High Risk</v>
      </c>
      <c r="L801">
        <f t="shared" si="62"/>
        <v>1</v>
      </c>
      <c r="M801">
        <f t="shared" si="63"/>
        <v>1</v>
      </c>
      <c r="N801" s="6">
        <f t="shared" si="64"/>
        <v>45666</v>
      </c>
    </row>
    <row r="802" spans="1:14" x14ac:dyDescent="0.3">
      <c r="A802">
        <v>209</v>
      </c>
      <c r="B802">
        <v>10058</v>
      </c>
      <c r="C802" t="s">
        <v>232</v>
      </c>
      <c r="D802" t="s">
        <v>10</v>
      </c>
      <c r="E802" t="s">
        <v>24</v>
      </c>
      <c r="F802" t="s">
        <v>12</v>
      </c>
      <c r="G802" t="s">
        <v>13</v>
      </c>
      <c r="H802">
        <v>89409.12</v>
      </c>
      <c r="I802">
        <v>0</v>
      </c>
      <c r="J802" t="str">
        <f t="shared" si="60"/>
        <v>High</v>
      </c>
      <c r="K802" t="str">
        <f t="shared" si="61"/>
        <v>Normal</v>
      </c>
      <c r="L802">
        <f t="shared" si="62"/>
        <v>1</v>
      </c>
      <c r="M802">
        <f t="shared" si="63"/>
        <v>1</v>
      </c>
      <c r="N802" s="6">
        <f t="shared" si="64"/>
        <v>45666</v>
      </c>
    </row>
    <row r="803" spans="1:14" x14ac:dyDescent="0.3">
      <c r="A803">
        <v>210</v>
      </c>
      <c r="B803">
        <v>10031</v>
      </c>
      <c r="C803" t="s">
        <v>233</v>
      </c>
      <c r="D803" t="s">
        <v>23</v>
      </c>
      <c r="E803" t="s">
        <v>11</v>
      </c>
      <c r="F803" t="s">
        <v>12</v>
      </c>
      <c r="G803" t="s">
        <v>31</v>
      </c>
      <c r="H803">
        <v>33814.28</v>
      </c>
      <c r="I803">
        <v>0</v>
      </c>
      <c r="J803" t="str">
        <f t="shared" si="60"/>
        <v>High</v>
      </c>
      <c r="K803" t="str">
        <f t="shared" si="61"/>
        <v>Normal</v>
      </c>
      <c r="L803">
        <f t="shared" si="62"/>
        <v>1</v>
      </c>
      <c r="M803">
        <f t="shared" si="63"/>
        <v>1</v>
      </c>
      <c r="N803" s="6">
        <f t="shared" si="64"/>
        <v>45666</v>
      </c>
    </row>
    <row r="804" spans="1:14" x14ac:dyDescent="0.3">
      <c r="A804">
        <v>211</v>
      </c>
      <c r="B804">
        <v>10095</v>
      </c>
      <c r="C804" t="s">
        <v>234</v>
      </c>
      <c r="D804" t="s">
        <v>10</v>
      </c>
      <c r="E804" t="s">
        <v>11</v>
      </c>
      <c r="F804" t="s">
        <v>17</v>
      </c>
      <c r="G804" t="s">
        <v>31</v>
      </c>
      <c r="H804">
        <v>72973.429999999993</v>
      </c>
      <c r="I804">
        <v>1</v>
      </c>
      <c r="J804" t="str">
        <f t="shared" si="60"/>
        <v>High</v>
      </c>
      <c r="K804" t="str">
        <f t="shared" si="61"/>
        <v>High Risk</v>
      </c>
      <c r="L804">
        <f t="shared" si="62"/>
        <v>1</v>
      </c>
      <c r="M804">
        <f t="shared" si="63"/>
        <v>1</v>
      </c>
      <c r="N804" s="6">
        <f t="shared" si="64"/>
        <v>45666</v>
      </c>
    </row>
    <row r="805" spans="1:14" x14ac:dyDescent="0.3">
      <c r="A805">
        <v>212</v>
      </c>
      <c r="B805">
        <v>10087</v>
      </c>
      <c r="C805" t="s">
        <v>235</v>
      </c>
      <c r="D805" t="s">
        <v>10</v>
      </c>
      <c r="E805" t="s">
        <v>11</v>
      </c>
      <c r="F805" t="s">
        <v>12</v>
      </c>
      <c r="G805" t="s">
        <v>21</v>
      </c>
      <c r="H805">
        <v>57365</v>
      </c>
      <c r="I805">
        <v>1</v>
      </c>
      <c r="J805" t="str">
        <f t="shared" si="60"/>
        <v>High</v>
      </c>
      <c r="K805" t="str">
        <f t="shared" si="61"/>
        <v>High Risk</v>
      </c>
      <c r="L805">
        <f t="shared" si="62"/>
        <v>1</v>
      </c>
      <c r="M805">
        <f t="shared" si="63"/>
        <v>1</v>
      </c>
      <c r="N805" s="6">
        <f t="shared" si="64"/>
        <v>45666</v>
      </c>
    </row>
    <row r="806" spans="1:14" x14ac:dyDescent="0.3">
      <c r="A806">
        <v>213</v>
      </c>
      <c r="B806">
        <v>10051</v>
      </c>
      <c r="C806" t="s">
        <v>236</v>
      </c>
      <c r="D806" t="s">
        <v>23</v>
      </c>
      <c r="E806" t="s">
        <v>24</v>
      </c>
      <c r="F806" t="s">
        <v>17</v>
      </c>
      <c r="G806" t="s">
        <v>31</v>
      </c>
      <c r="H806">
        <v>33831.17</v>
      </c>
      <c r="I806">
        <v>0</v>
      </c>
      <c r="J806" t="str">
        <f t="shared" si="60"/>
        <v>High</v>
      </c>
      <c r="K806" t="str">
        <f t="shared" si="61"/>
        <v>Normal</v>
      </c>
      <c r="L806">
        <f t="shared" si="62"/>
        <v>1</v>
      </c>
      <c r="M806">
        <f t="shared" si="63"/>
        <v>1</v>
      </c>
      <c r="N806" s="6">
        <f t="shared" si="64"/>
        <v>45666</v>
      </c>
    </row>
    <row r="807" spans="1:14" x14ac:dyDescent="0.3">
      <c r="A807">
        <v>214</v>
      </c>
      <c r="B807">
        <v>10061</v>
      </c>
      <c r="C807" t="s">
        <v>237</v>
      </c>
      <c r="D807" t="s">
        <v>10</v>
      </c>
      <c r="E807" t="s">
        <v>11</v>
      </c>
      <c r="F807" t="s">
        <v>12</v>
      </c>
      <c r="G807" t="s">
        <v>13</v>
      </c>
      <c r="H807">
        <v>98853.31</v>
      </c>
      <c r="I807">
        <v>1</v>
      </c>
      <c r="J807" t="str">
        <f t="shared" si="60"/>
        <v>High</v>
      </c>
      <c r="K807" t="str">
        <f t="shared" si="61"/>
        <v>High Risk</v>
      </c>
      <c r="L807">
        <f t="shared" si="62"/>
        <v>1</v>
      </c>
      <c r="M807">
        <f t="shared" si="63"/>
        <v>1</v>
      </c>
      <c r="N807" s="6">
        <f t="shared" si="64"/>
        <v>45666</v>
      </c>
    </row>
    <row r="808" spans="1:14" x14ac:dyDescent="0.3">
      <c r="A808">
        <v>215</v>
      </c>
      <c r="B808">
        <v>10057</v>
      </c>
      <c r="C808" t="s">
        <v>238</v>
      </c>
      <c r="D808" t="s">
        <v>23</v>
      </c>
      <c r="E808" t="s">
        <v>24</v>
      </c>
      <c r="F808" t="s">
        <v>12</v>
      </c>
      <c r="G808" t="s">
        <v>31</v>
      </c>
      <c r="H808">
        <v>2621.21</v>
      </c>
      <c r="I808">
        <v>0</v>
      </c>
      <c r="J808" t="str">
        <f t="shared" si="60"/>
        <v>High</v>
      </c>
      <c r="K808" t="str">
        <f t="shared" si="61"/>
        <v>Normal</v>
      </c>
      <c r="L808">
        <f t="shared" si="62"/>
        <v>1</v>
      </c>
      <c r="M808">
        <f t="shared" si="63"/>
        <v>1</v>
      </c>
      <c r="N808" s="6">
        <f t="shared" si="64"/>
        <v>45666</v>
      </c>
    </row>
    <row r="809" spans="1:14" x14ac:dyDescent="0.3">
      <c r="A809">
        <v>216</v>
      </c>
      <c r="B809">
        <v>10051</v>
      </c>
      <c r="C809" t="s">
        <v>239</v>
      </c>
      <c r="D809" t="s">
        <v>15</v>
      </c>
      <c r="E809" t="s">
        <v>16</v>
      </c>
      <c r="F809" t="s">
        <v>12</v>
      </c>
      <c r="G809" t="s">
        <v>13</v>
      </c>
      <c r="H809">
        <v>25339.34</v>
      </c>
      <c r="I809">
        <v>0</v>
      </c>
      <c r="J809" t="str">
        <f t="shared" si="60"/>
        <v>High</v>
      </c>
      <c r="K809" t="str">
        <f t="shared" si="61"/>
        <v>Normal</v>
      </c>
      <c r="L809">
        <f t="shared" si="62"/>
        <v>1</v>
      </c>
      <c r="M809">
        <f t="shared" si="63"/>
        <v>1</v>
      </c>
      <c r="N809" s="6">
        <f t="shared" si="64"/>
        <v>45666</v>
      </c>
    </row>
    <row r="810" spans="1:14" x14ac:dyDescent="0.3">
      <c r="A810">
        <v>169</v>
      </c>
      <c r="B810">
        <v>10035</v>
      </c>
      <c r="C810" t="s">
        <v>192</v>
      </c>
      <c r="D810" t="s">
        <v>15</v>
      </c>
      <c r="E810" t="s">
        <v>24</v>
      </c>
      <c r="F810" t="s">
        <v>17</v>
      </c>
      <c r="G810" t="s">
        <v>31</v>
      </c>
      <c r="H810">
        <v>94047.88</v>
      </c>
      <c r="I810">
        <v>0</v>
      </c>
      <c r="J810" t="str">
        <f t="shared" si="60"/>
        <v>High</v>
      </c>
      <c r="K810" t="str">
        <f t="shared" si="61"/>
        <v>Normal</v>
      </c>
      <c r="L810">
        <f t="shared" si="62"/>
        <v>1</v>
      </c>
      <c r="M810">
        <f t="shared" si="63"/>
        <v>1</v>
      </c>
      <c r="N810" s="6">
        <f t="shared" si="64"/>
        <v>45665</v>
      </c>
    </row>
    <row r="811" spans="1:14" x14ac:dyDescent="0.3">
      <c r="A811">
        <v>170</v>
      </c>
      <c r="B811">
        <v>10012</v>
      </c>
      <c r="C811" t="s">
        <v>193</v>
      </c>
      <c r="D811" t="s">
        <v>15</v>
      </c>
      <c r="E811" t="s">
        <v>11</v>
      </c>
      <c r="F811" t="s">
        <v>12</v>
      </c>
      <c r="G811" t="s">
        <v>13</v>
      </c>
      <c r="H811">
        <v>1680.73</v>
      </c>
      <c r="I811">
        <v>0</v>
      </c>
      <c r="J811" t="str">
        <f t="shared" si="60"/>
        <v>High</v>
      </c>
      <c r="K811" t="str">
        <f t="shared" si="61"/>
        <v>Normal</v>
      </c>
      <c r="L811">
        <f t="shared" si="62"/>
        <v>1</v>
      </c>
      <c r="M811">
        <f t="shared" si="63"/>
        <v>1</v>
      </c>
      <c r="N811" s="6">
        <f t="shared" si="64"/>
        <v>45665</v>
      </c>
    </row>
    <row r="812" spans="1:14" x14ac:dyDescent="0.3">
      <c r="A812">
        <v>171</v>
      </c>
      <c r="B812">
        <v>10031</v>
      </c>
      <c r="C812" t="s">
        <v>194</v>
      </c>
      <c r="D812" t="s">
        <v>20</v>
      </c>
      <c r="E812" t="s">
        <v>16</v>
      </c>
      <c r="F812" t="s">
        <v>17</v>
      </c>
      <c r="G812" t="s">
        <v>13</v>
      </c>
      <c r="H812">
        <v>52323.74</v>
      </c>
      <c r="I812">
        <v>0</v>
      </c>
      <c r="J812" t="str">
        <f t="shared" si="60"/>
        <v>High</v>
      </c>
      <c r="K812" t="str">
        <f t="shared" si="61"/>
        <v>Normal</v>
      </c>
      <c r="L812">
        <f t="shared" si="62"/>
        <v>1</v>
      </c>
      <c r="M812">
        <f t="shared" si="63"/>
        <v>1</v>
      </c>
      <c r="N812" s="6">
        <f t="shared" si="64"/>
        <v>45665</v>
      </c>
    </row>
    <row r="813" spans="1:14" x14ac:dyDescent="0.3">
      <c r="A813">
        <v>172</v>
      </c>
      <c r="B813">
        <v>10070</v>
      </c>
      <c r="C813" t="s">
        <v>195</v>
      </c>
      <c r="D813" t="s">
        <v>23</v>
      </c>
      <c r="E813" t="s">
        <v>24</v>
      </c>
      <c r="F813" t="s">
        <v>17</v>
      </c>
      <c r="G813" t="s">
        <v>21</v>
      </c>
      <c r="H813">
        <v>47139.65</v>
      </c>
      <c r="I813">
        <v>0</v>
      </c>
      <c r="J813" t="str">
        <f t="shared" si="60"/>
        <v>High</v>
      </c>
      <c r="K813" t="str">
        <f t="shared" si="61"/>
        <v>Normal</v>
      </c>
      <c r="L813">
        <f t="shared" si="62"/>
        <v>1</v>
      </c>
      <c r="M813">
        <f t="shared" si="63"/>
        <v>1</v>
      </c>
      <c r="N813" s="6">
        <f t="shared" si="64"/>
        <v>45665</v>
      </c>
    </row>
    <row r="814" spans="1:14" x14ac:dyDescent="0.3">
      <c r="A814">
        <v>173</v>
      </c>
      <c r="B814">
        <v>10058</v>
      </c>
      <c r="C814" t="s">
        <v>196</v>
      </c>
      <c r="D814" t="s">
        <v>20</v>
      </c>
      <c r="E814" t="s">
        <v>24</v>
      </c>
      <c r="F814" t="s">
        <v>12</v>
      </c>
      <c r="G814" t="s">
        <v>21</v>
      </c>
      <c r="H814">
        <v>65639.899999999994</v>
      </c>
      <c r="I814">
        <v>0</v>
      </c>
      <c r="J814" t="str">
        <f t="shared" si="60"/>
        <v>High</v>
      </c>
      <c r="K814" t="str">
        <f t="shared" si="61"/>
        <v>Normal</v>
      </c>
      <c r="L814">
        <f t="shared" si="62"/>
        <v>1</v>
      </c>
      <c r="M814">
        <f t="shared" si="63"/>
        <v>1</v>
      </c>
      <c r="N814" s="6">
        <f t="shared" si="64"/>
        <v>45665</v>
      </c>
    </row>
    <row r="815" spans="1:14" x14ac:dyDescent="0.3">
      <c r="A815">
        <v>174</v>
      </c>
      <c r="B815">
        <v>10085</v>
      </c>
      <c r="C815" t="s">
        <v>197</v>
      </c>
      <c r="D815" t="s">
        <v>20</v>
      </c>
      <c r="E815" t="s">
        <v>11</v>
      </c>
      <c r="F815" t="s">
        <v>12</v>
      </c>
      <c r="G815" t="s">
        <v>31</v>
      </c>
      <c r="H815">
        <v>56001.93</v>
      </c>
      <c r="I815">
        <v>1</v>
      </c>
      <c r="J815" t="str">
        <f t="shared" si="60"/>
        <v>High</v>
      </c>
      <c r="K815" t="str">
        <f t="shared" si="61"/>
        <v>High Risk</v>
      </c>
      <c r="L815">
        <f t="shared" si="62"/>
        <v>1</v>
      </c>
      <c r="M815">
        <f t="shared" si="63"/>
        <v>1</v>
      </c>
      <c r="N815" s="6">
        <f t="shared" si="64"/>
        <v>45665</v>
      </c>
    </row>
    <row r="816" spans="1:14" x14ac:dyDescent="0.3">
      <c r="A816">
        <v>175</v>
      </c>
      <c r="B816">
        <v>10027</v>
      </c>
      <c r="C816" t="s">
        <v>198</v>
      </c>
      <c r="D816" t="s">
        <v>20</v>
      </c>
      <c r="E816" t="s">
        <v>11</v>
      </c>
      <c r="F816" t="s">
        <v>17</v>
      </c>
      <c r="G816" t="s">
        <v>31</v>
      </c>
      <c r="H816">
        <v>68735.210000000006</v>
      </c>
      <c r="I816">
        <v>1</v>
      </c>
      <c r="J816" t="str">
        <f t="shared" si="60"/>
        <v>High</v>
      </c>
      <c r="K816" t="str">
        <f t="shared" si="61"/>
        <v>High Risk</v>
      </c>
      <c r="L816">
        <f t="shared" si="62"/>
        <v>1</v>
      </c>
      <c r="M816">
        <f t="shared" si="63"/>
        <v>1</v>
      </c>
      <c r="N816" s="6">
        <f t="shared" si="64"/>
        <v>45665</v>
      </c>
    </row>
    <row r="817" spans="1:14" x14ac:dyDescent="0.3">
      <c r="A817">
        <v>176</v>
      </c>
      <c r="B817">
        <v>10065</v>
      </c>
      <c r="C817" t="s">
        <v>199</v>
      </c>
      <c r="D817" t="s">
        <v>20</v>
      </c>
      <c r="E817" t="s">
        <v>24</v>
      </c>
      <c r="F817" t="s">
        <v>17</v>
      </c>
      <c r="G817" t="s">
        <v>21</v>
      </c>
      <c r="H817">
        <v>65842.45</v>
      </c>
      <c r="I817">
        <v>0</v>
      </c>
      <c r="J817" t="str">
        <f t="shared" si="60"/>
        <v>High</v>
      </c>
      <c r="K817" t="str">
        <f t="shared" si="61"/>
        <v>Normal</v>
      </c>
      <c r="L817">
        <f t="shared" si="62"/>
        <v>1</v>
      </c>
      <c r="M817">
        <f t="shared" si="63"/>
        <v>1</v>
      </c>
      <c r="N817" s="6">
        <f t="shared" si="64"/>
        <v>45665</v>
      </c>
    </row>
    <row r="818" spans="1:14" x14ac:dyDescent="0.3">
      <c r="A818">
        <v>177</v>
      </c>
      <c r="B818">
        <v>10041</v>
      </c>
      <c r="C818" t="s">
        <v>200</v>
      </c>
      <c r="D818" t="s">
        <v>29</v>
      </c>
      <c r="E818" t="s">
        <v>11</v>
      </c>
      <c r="F818" t="s">
        <v>12</v>
      </c>
      <c r="G818" t="s">
        <v>21</v>
      </c>
      <c r="H818">
        <v>11789.47</v>
      </c>
      <c r="I818">
        <v>0</v>
      </c>
      <c r="J818" t="str">
        <f t="shared" si="60"/>
        <v>High</v>
      </c>
      <c r="K818" t="str">
        <f t="shared" si="61"/>
        <v>Normal</v>
      </c>
      <c r="L818">
        <f t="shared" si="62"/>
        <v>1</v>
      </c>
      <c r="M818">
        <f t="shared" si="63"/>
        <v>1</v>
      </c>
      <c r="N818" s="6">
        <f t="shared" si="64"/>
        <v>45665</v>
      </c>
    </row>
    <row r="819" spans="1:14" x14ac:dyDescent="0.3">
      <c r="A819">
        <v>178</v>
      </c>
      <c r="B819">
        <v>10044</v>
      </c>
      <c r="C819" t="s">
        <v>201</v>
      </c>
      <c r="D819" t="s">
        <v>29</v>
      </c>
      <c r="E819" t="s">
        <v>24</v>
      </c>
      <c r="F819" t="s">
        <v>17</v>
      </c>
      <c r="G819" t="s">
        <v>25</v>
      </c>
      <c r="H819">
        <v>79991.820000000007</v>
      </c>
      <c r="I819">
        <v>0</v>
      </c>
      <c r="J819" t="str">
        <f t="shared" si="60"/>
        <v>High</v>
      </c>
      <c r="K819" t="str">
        <f t="shared" si="61"/>
        <v>Normal</v>
      </c>
      <c r="L819">
        <f t="shared" si="62"/>
        <v>1</v>
      </c>
      <c r="M819">
        <f t="shared" si="63"/>
        <v>1</v>
      </c>
      <c r="N819" s="6">
        <f t="shared" si="64"/>
        <v>45665</v>
      </c>
    </row>
    <row r="820" spans="1:14" x14ac:dyDescent="0.3">
      <c r="A820">
        <v>179</v>
      </c>
      <c r="B820">
        <v>10061</v>
      </c>
      <c r="C820" t="s">
        <v>202</v>
      </c>
      <c r="D820" t="s">
        <v>10</v>
      </c>
      <c r="E820" t="s">
        <v>16</v>
      </c>
      <c r="F820" t="s">
        <v>17</v>
      </c>
      <c r="G820" t="s">
        <v>25</v>
      </c>
      <c r="H820">
        <v>12410.93</v>
      </c>
      <c r="I820">
        <v>0</v>
      </c>
      <c r="J820" t="str">
        <f t="shared" si="60"/>
        <v>High</v>
      </c>
      <c r="K820" t="str">
        <f t="shared" si="61"/>
        <v>Normal</v>
      </c>
      <c r="L820">
        <f t="shared" si="62"/>
        <v>1</v>
      </c>
      <c r="M820">
        <f t="shared" si="63"/>
        <v>1</v>
      </c>
      <c r="N820" s="6">
        <f t="shared" si="64"/>
        <v>45665</v>
      </c>
    </row>
    <row r="821" spans="1:14" x14ac:dyDescent="0.3">
      <c r="A821">
        <v>180</v>
      </c>
      <c r="B821">
        <v>10056</v>
      </c>
      <c r="C821" t="s">
        <v>203</v>
      </c>
      <c r="D821" t="s">
        <v>15</v>
      </c>
      <c r="E821" t="s">
        <v>11</v>
      </c>
      <c r="F821" t="s">
        <v>17</v>
      </c>
      <c r="G821" t="s">
        <v>21</v>
      </c>
      <c r="H821">
        <v>69883.210000000006</v>
      </c>
      <c r="I821">
        <v>1</v>
      </c>
      <c r="J821" t="str">
        <f t="shared" si="60"/>
        <v>High</v>
      </c>
      <c r="K821" t="str">
        <f t="shared" si="61"/>
        <v>High Risk</v>
      </c>
      <c r="L821">
        <f t="shared" si="62"/>
        <v>1</v>
      </c>
      <c r="M821">
        <f t="shared" si="63"/>
        <v>1</v>
      </c>
      <c r="N821" s="6">
        <f t="shared" si="64"/>
        <v>45665</v>
      </c>
    </row>
    <row r="822" spans="1:14" x14ac:dyDescent="0.3">
      <c r="A822">
        <v>181</v>
      </c>
      <c r="B822">
        <v>10005</v>
      </c>
      <c r="C822" t="s">
        <v>204</v>
      </c>
      <c r="D822" t="s">
        <v>20</v>
      </c>
      <c r="E822" t="s">
        <v>24</v>
      </c>
      <c r="F822" t="s">
        <v>12</v>
      </c>
      <c r="G822" t="s">
        <v>25</v>
      </c>
      <c r="H822">
        <v>41672.92</v>
      </c>
      <c r="I822">
        <v>0</v>
      </c>
      <c r="J822" t="str">
        <f t="shared" si="60"/>
        <v>High</v>
      </c>
      <c r="K822" t="str">
        <f t="shared" si="61"/>
        <v>Normal</v>
      </c>
      <c r="L822">
        <f t="shared" si="62"/>
        <v>1</v>
      </c>
      <c r="M822">
        <f t="shared" si="63"/>
        <v>1</v>
      </c>
      <c r="N822" s="6">
        <f t="shared" si="64"/>
        <v>45665</v>
      </c>
    </row>
    <row r="823" spans="1:14" x14ac:dyDescent="0.3">
      <c r="A823">
        <v>182</v>
      </c>
      <c r="B823">
        <v>10027</v>
      </c>
      <c r="C823" t="s">
        <v>205</v>
      </c>
      <c r="D823" t="s">
        <v>10</v>
      </c>
      <c r="E823" t="s">
        <v>16</v>
      </c>
      <c r="F823" t="s">
        <v>17</v>
      </c>
      <c r="G823" t="s">
        <v>18</v>
      </c>
      <c r="H823">
        <v>51433.69</v>
      </c>
      <c r="I823">
        <v>0</v>
      </c>
      <c r="J823" t="str">
        <f t="shared" si="60"/>
        <v>High</v>
      </c>
      <c r="K823" t="str">
        <f t="shared" si="61"/>
        <v>Normal</v>
      </c>
      <c r="L823">
        <f t="shared" si="62"/>
        <v>1</v>
      </c>
      <c r="M823">
        <f t="shared" si="63"/>
        <v>1</v>
      </c>
      <c r="N823" s="6">
        <f t="shared" si="64"/>
        <v>45665</v>
      </c>
    </row>
    <row r="824" spans="1:14" x14ac:dyDescent="0.3">
      <c r="A824">
        <v>183</v>
      </c>
      <c r="B824">
        <v>10027</v>
      </c>
      <c r="C824" t="s">
        <v>206</v>
      </c>
      <c r="D824" t="s">
        <v>15</v>
      </c>
      <c r="E824" t="s">
        <v>16</v>
      </c>
      <c r="F824" t="s">
        <v>17</v>
      </c>
      <c r="G824" t="s">
        <v>31</v>
      </c>
      <c r="H824">
        <v>90339.47</v>
      </c>
      <c r="I824">
        <v>0</v>
      </c>
      <c r="J824" t="str">
        <f t="shared" si="60"/>
        <v>High</v>
      </c>
      <c r="K824" t="str">
        <f t="shared" si="61"/>
        <v>Normal</v>
      </c>
      <c r="L824">
        <f t="shared" si="62"/>
        <v>1</v>
      </c>
      <c r="M824">
        <f t="shared" si="63"/>
        <v>1</v>
      </c>
      <c r="N824" s="6">
        <f t="shared" si="64"/>
        <v>45665</v>
      </c>
    </row>
    <row r="825" spans="1:14" x14ac:dyDescent="0.3">
      <c r="A825">
        <v>184</v>
      </c>
      <c r="B825">
        <v>10043</v>
      </c>
      <c r="C825" t="s">
        <v>207</v>
      </c>
      <c r="D825" t="s">
        <v>23</v>
      </c>
      <c r="E825" t="s">
        <v>24</v>
      </c>
      <c r="F825" t="s">
        <v>12</v>
      </c>
      <c r="G825" t="s">
        <v>31</v>
      </c>
      <c r="H825">
        <v>88999.38</v>
      </c>
      <c r="I825">
        <v>0</v>
      </c>
      <c r="J825" t="str">
        <f t="shared" si="60"/>
        <v>High</v>
      </c>
      <c r="K825" t="str">
        <f t="shared" si="61"/>
        <v>Normal</v>
      </c>
      <c r="L825">
        <f t="shared" si="62"/>
        <v>1</v>
      </c>
      <c r="M825">
        <f t="shared" si="63"/>
        <v>1</v>
      </c>
      <c r="N825" s="6">
        <f t="shared" si="64"/>
        <v>45665</v>
      </c>
    </row>
    <row r="826" spans="1:14" x14ac:dyDescent="0.3">
      <c r="A826">
        <v>185</v>
      </c>
      <c r="B826">
        <v>10083</v>
      </c>
      <c r="C826" t="s">
        <v>208</v>
      </c>
      <c r="D826" t="s">
        <v>29</v>
      </c>
      <c r="E826" t="s">
        <v>11</v>
      </c>
      <c r="F826" t="s">
        <v>17</v>
      </c>
      <c r="G826" t="s">
        <v>21</v>
      </c>
      <c r="H826">
        <v>81803.839999999997</v>
      </c>
      <c r="I826">
        <v>1</v>
      </c>
      <c r="J826" t="str">
        <f t="shared" si="60"/>
        <v>High</v>
      </c>
      <c r="K826" t="str">
        <f t="shared" si="61"/>
        <v>High Risk</v>
      </c>
      <c r="L826">
        <f t="shared" si="62"/>
        <v>1</v>
      </c>
      <c r="M826">
        <f t="shared" si="63"/>
        <v>1</v>
      </c>
      <c r="N826" s="6">
        <f t="shared" si="64"/>
        <v>45665</v>
      </c>
    </row>
    <row r="827" spans="1:14" x14ac:dyDescent="0.3">
      <c r="A827">
        <v>186</v>
      </c>
      <c r="B827">
        <v>10029</v>
      </c>
      <c r="C827" t="s">
        <v>209</v>
      </c>
      <c r="D827" t="s">
        <v>15</v>
      </c>
      <c r="E827" t="s">
        <v>24</v>
      </c>
      <c r="F827" t="s">
        <v>17</v>
      </c>
      <c r="G827" t="s">
        <v>13</v>
      </c>
      <c r="H827">
        <v>51063.82</v>
      </c>
      <c r="I827">
        <v>0</v>
      </c>
      <c r="J827" t="str">
        <f t="shared" si="60"/>
        <v>High</v>
      </c>
      <c r="K827" t="str">
        <f t="shared" si="61"/>
        <v>Normal</v>
      </c>
      <c r="L827">
        <f t="shared" si="62"/>
        <v>1</v>
      </c>
      <c r="M827">
        <f t="shared" si="63"/>
        <v>1</v>
      </c>
      <c r="N827" s="6">
        <f t="shared" si="64"/>
        <v>45665</v>
      </c>
    </row>
    <row r="828" spans="1:14" x14ac:dyDescent="0.3">
      <c r="A828">
        <v>187</v>
      </c>
      <c r="B828">
        <v>10061</v>
      </c>
      <c r="C828" t="s">
        <v>210</v>
      </c>
      <c r="D828" t="s">
        <v>23</v>
      </c>
      <c r="E828" t="s">
        <v>16</v>
      </c>
      <c r="F828" t="s">
        <v>12</v>
      </c>
      <c r="G828" t="s">
        <v>21</v>
      </c>
      <c r="H828">
        <v>73650.36</v>
      </c>
      <c r="I828">
        <v>0</v>
      </c>
      <c r="J828" t="str">
        <f t="shared" si="60"/>
        <v>High</v>
      </c>
      <c r="K828" t="str">
        <f t="shared" si="61"/>
        <v>Normal</v>
      </c>
      <c r="L828">
        <f t="shared" si="62"/>
        <v>1</v>
      </c>
      <c r="M828">
        <f t="shared" si="63"/>
        <v>1</v>
      </c>
      <c r="N828" s="6">
        <f t="shared" si="64"/>
        <v>45665</v>
      </c>
    </row>
    <row r="829" spans="1:14" x14ac:dyDescent="0.3">
      <c r="A829">
        <v>188</v>
      </c>
      <c r="B829">
        <v>10074</v>
      </c>
      <c r="C829" t="s">
        <v>211</v>
      </c>
      <c r="D829" t="s">
        <v>15</v>
      </c>
      <c r="E829" t="s">
        <v>24</v>
      </c>
      <c r="F829" t="s">
        <v>12</v>
      </c>
      <c r="G829" t="s">
        <v>25</v>
      </c>
      <c r="H829">
        <v>51338.42</v>
      </c>
      <c r="I829">
        <v>0</v>
      </c>
      <c r="J829" t="str">
        <f t="shared" si="60"/>
        <v>High</v>
      </c>
      <c r="K829" t="str">
        <f t="shared" si="61"/>
        <v>Normal</v>
      </c>
      <c r="L829">
        <f t="shared" si="62"/>
        <v>1</v>
      </c>
      <c r="M829">
        <f t="shared" si="63"/>
        <v>1</v>
      </c>
      <c r="N829" s="6">
        <f t="shared" si="64"/>
        <v>45665</v>
      </c>
    </row>
    <row r="830" spans="1:14" x14ac:dyDescent="0.3">
      <c r="A830">
        <v>189</v>
      </c>
      <c r="B830">
        <v>10091</v>
      </c>
      <c r="C830" t="s">
        <v>212</v>
      </c>
      <c r="D830" t="s">
        <v>29</v>
      </c>
      <c r="E830" t="s">
        <v>11</v>
      </c>
      <c r="F830" t="s">
        <v>12</v>
      </c>
      <c r="G830" t="s">
        <v>13</v>
      </c>
      <c r="H830">
        <v>86973.65</v>
      </c>
      <c r="I830">
        <v>1</v>
      </c>
      <c r="J830" t="str">
        <f t="shared" si="60"/>
        <v>High</v>
      </c>
      <c r="K830" t="str">
        <f t="shared" si="61"/>
        <v>High Risk</v>
      </c>
      <c r="L830">
        <f t="shared" si="62"/>
        <v>1</v>
      </c>
      <c r="M830">
        <f t="shared" si="63"/>
        <v>1</v>
      </c>
      <c r="N830" s="6">
        <f t="shared" si="64"/>
        <v>45665</v>
      </c>
    </row>
    <row r="831" spans="1:14" x14ac:dyDescent="0.3">
      <c r="A831">
        <v>190</v>
      </c>
      <c r="B831">
        <v>10088</v>
      </c>
      <c r="C831" t="s">
        <v>213</v>
      </c>
      <c r="D831" t="s">
        <v>29</v>
      </c>
      <c r="E831" t="s">
        <v>16</v>
      </c>
      <c r="F831" t="s">
        <v>12</v>
      </c>
      <c r="G831" t="s">
        <v>25</v>
      </c>
      <c r="H831">
        <v>40337.31</v>
      </c>
      <c r="I831">
        <v>0</v>
      </c>
      <c r="J831" t="str">
        <f t="shared" si="60"/>
        <v>High</v>
      </c>
      <c r="K831" t="str">
        <f t="shared" si="61"/>
        <v>Normal</v>
      </c>
      <c r="L831">
        <f t="shared" si="62"/>
        <v>1</v>
      </c>
      <c r="M831">
        <f t="shared" si="63"/>
        <v>1</v>
      </c>
      <c r="N831" s="6">
        <f t="shared" si="64"/>
        <v>45665</v>
      </c>
    </row>
    <row r="832" spans="1:14" x14ac:dyDescent="0.3">
      <c r="A832">
        <v>191</v>
      </c>
      <c r="B832">
        <v>10061</v>
      </c>
      <c r="C832" t="s">
        <v>214</v>
      </c>
      <c r="D832" t="s">
        <v>10</v>
      </c>
      <c r="E832" t="s">
        <v>24</v>
      </c>
      <c r="F832" t="s">
        <v>17</v>
      </c>
      <c r="G832" t="s">
        <v>18</v>
      </c>
      <c r="H832">
        <v>97026.51</v>
      </c>
      <c r="I832">
        <v>0</v>
      </c>
      <c r="J832" t="str">
        <f t="shared" si="60"/>
        <v>High</v>
      </c>
      <c r="K832" t="str">
        <f t="shared" si="61"/>
        <v>Normal</v>
      </c>
      <c r="L832">
        <f t="shared" si="62"/>
        <v>1</v>
      </c>
      <c r="M832">
        <f t="shared" si="63"/>
        <v>1</v>
      </c>
      <c r="N832" s="6">
        <f t="shared" si="64"/>
        <v>45665</v>
      </c>
    </row>
    <row r="833" spans="1:14" x14ac:dyDescent="0.3">
      <c r="A833">
        <v>192</v>
      </c>
      <c r="B833">
        <v>10096</v>
      </c>
      <c r="C833" t="s">
        <v>215</v>
      </c>
      <c r="D833" t="s">
        <v>20</v>
      </c>
      <c r="E833" t="s">
        <v>11</v>
      </c>
      <c r="F833" t="s">
        <v>17</v>
      </c>
      <c r="G833" t="s">
        <v>25</v>
      </c>
      <c r="H833">
        <v>93239.039999999994</v>
      </c>
      <c r="I833">
        <v>1</v>
      </c>
      <c r="J833" t="str">
        <f t="shared" si="60"/>
        <v>High</v>
      </c>
      <c r="K833" t="str">
        <f t="shared" si="61"/>
        <v>High Risk</v>
      </c>
      <c r="L833">
        <f t="shared" si="62"/>
        <v>1</v>
      </c>
      <c r="M833">
        <f t="shared" si="63"/>
        <v>1</v>
      </c>
      <c r="N833" s="6">
        <f t="shared" si="64"/>
        <v>45665</v>
      </c>
    </row>
    <row r="834" spans="1:14" x14ac:dyDescent="0.3">
      <c r="A834">
        <v>145</v>
      </c>
      <c r="B834">
        <v>10077</v>
      </c>
      <c r="C834" t="s">
        <v>168</v>
      </c>
      <c r="D834" t="s">
        <v>29</v>
      </c>
      <c r="E834" t="s">
        <v>16</v>
      </c>
      <c r="F834" t="s">
        <v>17</v>
      </c>
      <c r="G834" t="s">
        <v>25</v>
      </c>
      <c r="H834">
        <v>15682.49</v>
      </c>
      <c r="I834">
        <v>0</v>
      </c>
      <c r="J834" t="str">
        <f t="shared" ref="J834:J897" si="65">IF(E834&gt;50000,"High","Normal")</f>
        <v>High</v>
      </c>
      <c r="K834" t="str">
        <f t="shared" ref="K834:K897" si="66">IF(AND(H834&gt;50000,E834="Online"),"High Risk","Normal")</f>
        <v>Normal</v>
      </c>
      <c r="L834">
        <f t="shared" ref="L834:L897" si="67">COUNTIFS(C:C,C834,B:B,B834)</f>
        <v>1</v>
      </c>
      <c r="M834">
        <f t="shared" ref="M834:M897" si="68">IF(E834&gt;50000,1,0) + IF(H834="Unusual",1,0) + IF(I834&gt;3,1,0)</f>
        <v>1</v>
      </c>
      <c r="N834" s="6">
        <f t="shared" ref="N834:N897" si="69">INT(C834)</f>
        <v>45664</v>
      </c>
    </row>
    <row r="835" spans="1:14" x14ac:dyDescent="0.3">
      <c r="A835">
        <v>146</v>
      </c>
      <c r="B835">
        <v>10002</v>
      </c>
      <c r="C835" t="s">
        <v>169</v>
      </c>
      <c r="D835" t="s">
        <v>29</v>
      </c>
      <c r="E835" t="s">
        <v>11</v>
      </c>
      <c r="F835" t="s">
        <v>12</v>
      </c>
      <c r="G835" t="s">
        <v>21</v>
      </c>
      <c r="H835">
        <v>47901.760000000002</v>
      </c>
      <c r="I835">
        <v>0</v>
      </c>
      <c r="J835" t="str">
        <f t="shared" si="65"/>
        <v>High</v>
      </c>
      <c r="K835" t="str">
        <f t="shared" si="66"/>
        <v>Normal</v>
      </c>
      <c r="L835">
        <f t="shared" si="67"/>
        <v>1</v>
      </c>
      <c r="M835">
        <f t="shared" si="68"/>
        <v>1</v>
      </c>
      <c r="N835" s="6">
        <f t="shared" si="69"/>
        <v>45664</v>
      </c>
    </row>
    <row r="836" spans="1:14" x14ac:dyDescent="0.3">
      <c r="A836">
        <v>147</v>
      </c>
      <c r="B836">
        <v>10000</v>
      </c>
      <c r="C836" t="s">
        <v>170</v>
      </c>
      <c r="D836" t="s">
        <v>20</v>
      </c>
      <c r="E836" t="s">
        <v>16</v>
      </c>
      <c r="F836" t="s">
        <v>12</v>
      </c>
      <c r="G836" t="s">
        <v>18</v>
      </c>
      <c r="H836">
        <v>78077.55</v>
      </c>
      <c r="I836">
        <v>0</v>
      </c>
      <c r="J836" t="str">
        <f t="shared" si="65"/>
        <v>High</v>
      </c>
      <c r="K836" t="str">
        <f t="shared" si="66"/>
        <v>Normal</v>
      </c>
      <c r="L836">
        <f t="shared" si="67"/>
        <v>1</v>
      </c>
      <c r="M836">
        <f t="shared" si="68"/>
        <v>1</v>
      </c>
      <c r="N836" s="6">
        <f t="shared" si="69"/>
        <v>45664</v>
      </c>
    </row>
    <row r="837" spans="1:14" x14ac:dyDescent="0.3">
      <c r="A837">
        <v>148</v>
      </c>
      <c r="B837">
        <v>10004</v>
      </c>
      <c r="C837" t="s">
        <v>171</v>
      </c>
      <c r="D837" t="s">
        <v>20</v>
      </c>
      <c r="E837" t="s">
        <v>16</v>
      </c>
      <c r="F837" t="s">
        <v>17</v>
      </c>
      <c r="G837" t="s">
        <v>31</v>
      </c>
      <c r="H837">
        <v>30432.03</v>
      </c>
      <c r="I837">
        <v>0</v>
      </c>
      <c r="J837" t="str">
        <f t="shared" si="65"/>
        <v>High</v>
      </c>
      <c r="K837" t="str">
        <f t="shared" si="66"/>
        <v>Normal</v>
      </c>
      <c r="L837">
        <f t="shared" si="67"/>
        <v>1</v>
      </c>
      <c r="M837">
        <f t="shared" si="68"/>
        <v>1</v>
      </c>
      <c r="N837" s="6">
        <f t="shared" si="69"/>
        <v>45664</v>
      </c>
    </row>
    <row r="838" spans="1:14" x14ac:dyDescent="0.3">
      <c r="A838">
        <v>149</v>
      </c>
      <c r="B838">
        <v>10089</v>
      </c>
      <c r="C838" t="s">
        <v>172</v>
      </c>
      <c r="D838" t="s">
        <v>29</v>
      </c>
      <c r="E838" t="s">
        <v>16</v>
      </c>
      <c r="F838" t="s">
        <v>17</v>
      </c>
      <c r="G838" t="s">
        <v>25</v>
      </c>
      <c r="H838">
        <v>31237.81</v>
      </c>
      <c r="I838">
        <v>0</v>
      </c>
      <c r="J838" t="str">
        <f t="shared" si="65"/>
        <v>High</v>
      </c>
      <c r="K838" t="str">
        <f t="shared" si="66"/>
        <v>Normal</v>
      </c>
      <c r="L838">
        <f t="shared" si="67"/>
        <v>1</v>
      </c>
      <c r="M838">
        <f t="shared" si="68"/>
        <v>1</v>
      </c>
      <c r="N838" s="6">
        <f t="shared" si="69"/>
        <v>45664</v>
      </c>
    </row>
    <row r="839" spans="1:14" x14ac:dyDescent="0.3">
      <c r="A839">
        <v>150</v>
      </c>
      <c r="B839">
        <v>10013</v>
      </c>
      <c r="C839" t="s">
        <v>173</v>
      </c>
      <c r="D839" t="s">
        <v>10</v>
      </c>
      <c r="E839" t="s">
        <v>11</v>
      </c>
      <c r="F839" t="s">
        <v>12</v>
      </c>
      <c r="G839" t="s">
        <v>13</v>
      </c>
      <c r="H839">
        <v>413.78</v>
      </c>
      <c r="I839">
        <v>0</v>
      </c>
      <c r="J839" t="str">
        <f t="shared" si="65"/>
        <v>High</v>
      </c>
      <c r="K839" t="str">
        <f t="shared" si="66"/>
        <v>Normal</v>
      </c>
      <c r="L839">
        <f t="shared" si="67"/>
        <v>1</v>
      </c>
      <c r="M839">
        <f t="shared" si="68"/>
        <v>1</v>
      </c>
      <c r="N839" s="6">
        <f t="shared" si="69"/>
        <v>45664</v>
      </c>
    </row>
    <row r="840" spans="1:14" x14ac:dyDescent="0.3">
      <c r="A840">
        <v>151</v>
      </c>
      <c r="B840">
        <v>10026</v>
      </c>
      <c r="C840" t="s">
        <v>174</v>
      </c>
      <c r="D840" t="s">
        <v>23</v>
      </c>
      <c r="E840" t="s">
        <v>24</v>
      </c>
      <c r="F840" t="s">
        <v>17</v>
      </c>
      <c r="G840" t="s">
        <v>31</v>
      </c>
      <c r="H840">
        <v>17506.919999999998</v>
      </c>
      <c r="I840">
        <v>0</v>
      </c>
      <c r="J840" t="str">
        <f t="shared" si="65"/>
        <v>High</v>
      </c>
      <c r="K840" t="str">
        <f t="shared" si="66"/>
        <v>Normal</v>
      </c>
      <c r="L840">
        <f t="shared" si="67"/>
        <v>1</v>
      </c>
      <c r="M840">
        <f t="shared" si="68"/>
        <v>1</v>
      </c>
      <c r="N840" s="6">
        <f t="shared" si="69"/>
        <v>45664</v>
      </c>
    </row>
    <row r="841" spans="1:14" x14ac:dyDescent="0.3">
      <c r="A841">
        <v>152</v>
      </c>
      <c r="B841">
        <v>10008</v>
      </c>
      <c r="C841" t="s">
        <v>175</v>
      </c>
      <c r="D841" t="s">
        <v>23</v>
      </c>
      <c r="E841" t="s">
        <v>11</v>
      </c>
      <c r="F841" t="s">
        <v>12</v>
      </c>
      <c r="G841" t="s">
        <v>21</v>
      </c>
      <c r="H841">
        <v>87553.02</v>
      </c>
      <c r="I841">
        <v>1</v>
      </c>
      <c r="J841" t="str">
        <f t="shared" si="65"/>
        <v>High</v>
      </c>
      <c r="K841" t="str">
        <f t="shared" si="66"/>
        <v>High Risk</v>
      </c>
      <c r="L841">
        <f t="shared" si="67"/>
        <v>1</v>
      </c>
      <c r="M841">
        <f t="shared" si="68"/>
        <v>1</v>
      </c>
      <c r="N841" s="6">
        <f t="shared" si="69"/>
        <v>45664</v>
      </c>
    </row>
    <row r="842" spans="1:14" x14ac:dyDescent="0.3">
      <c r="A842">
        <v>153</v>
      </c>
      <c r="B842">
        <v>10078</v>
      </c>
      <c r="C842" t="s">
        <v>176</v>
      </c>
      <c r="D842" t="s">
        <v>23</v>
      </c>
      <c r="E842" t="s">
        <v>24</v>
      </c>
      <c r="F842" t="s">
        <v>17</v>
      </c>
      <c r="G842" t="s">
        <v>21</v>
      </c>
      <c r="H842">
        <v>44230.47</v>
      </c>
      <c r="I842">
        <v>0</v>
      </c>
      <c r="J842" t="str">
        <f t="shared" si="65"/>
        <v>High</v>
      </c>
      <c r="K842" t="str">
        <f t="shared" si="66"/>
        <v>Normal</v>
      </c>
      <c r="L842">
        <f t="shared" si="67"/>
        <v>1</v>
      </c>
      <c r="M842">
        <f t="shared" si="68"/>
        <v>1</v>
      </c>
      <c r="N842" s="6">
        <f t="shared" si="69"/>
        <v>45664</v>
      </c>
    </row>
    <row r="843" spans="1:14" x14ac:dyDescent="0.3">
      <c r="A843">
        <v>154</v>
      </c>
      <c r="B843">
        <v>10014</v>
      </c>
      <c r="C843" t="s">
        <v>177</v>
      </c>
      <c r="D843" t="s">
        <v>20</v>
      </c>
      <c r="E843" t="s">
        <v>24</v>
      </c>
      <c r="F843" t="s">
        <v>12</v>
      </c>
      <c r="G843" t="s">
        <v>13</v>
      </c>
      <c r="H843">
        <v>98425.03</v>
      </c>
      <c r="I843">
        <v>0</v>
      </c>
      <c r="J843" t="str">
        <f t="shared" si="65"/>
        <v>High</v>
      </c>
      <c r="K843" t="str">
        <f t="shared" si="66"/>
        <v>Normal</v>
      </c>
      <c r="L843">
        <f t="shared" si="67"/>
        <v>1</v>
      </c>
      <c r="M843">
        <f t="shared" si="68"/>
        <v>1</v>
      </c>
      <c r="N843" s="6">
        <f t="shared" si="69"/>
        <v>45664</v>
      </c>
    </row>
    <row r="844" spans="1:14" x14ac:dyDescent="0.3">
      <c r="A844">
        <v>155</v>
      </c>
      <c r="B844">
        <v>10089</v>
      </c>
      <c r="C844" t="s">
        <v>178</v>
      </c>
      <c r="D844" t="s">
        <v>20</v>
      </c>
      <c r="E844" t="s">
        <v>16</v>
      </c>
      <c r="F844" t="s">
        <v>17</v>
      </c>
      <c r="G844" t="s">
        <v>25</v>
      </c>
      <c r="H844">
        <v>39631.230000000003</v>
      </c>
      <c r="I844">
        <v>0</v>
      </c>
      <c r="J844" t="str">
        <f t="shared" si="65"/>
        <v>High</v>
      </c>
      <c r="K844" t="str">
        <f t="shared" si="66"/>
        <v>Normal</v>
      </c>
      <c r="L844">
        <f t="shared" si="67"/>
        <v>1</v>
      </c>
      <c r="M844">
        <f t="shared" si="68"/>
        <v>1</v>
      </c>
      <c r="N844" s="6">
        <f t="shared" si="69"/>
        <v>45664</v>
      </c>
    </row>
    <row r="845" spans="1:14" x14ac:dyDescent="0.3">
      <c r="A845">
        <v>156</v>
      </c>
      <c r="B845">
        <v>10041</v>
      </c>
      <c r="C845" t="s">
        <v>179</v>
      </c>
      <c r="D845" t="s">
        <v>10</v>
      </c>
      <c r="E845" t="s">
        <v>24</v>
      </c>
      <c r="F845" t="s">
        <v>17</v>
      </c>
      <c r="G845" t="s">
        <v>31</v>
      </c>
      <c r="H845">
        <v>71547.13</v>
      </c>
      <c r="I845">
        <v>0</v>
      </c>
      <c r="J845" t="str">
        <f t="shared" si="65"/>
        <v>High</v>
      </c>
      <c r="K845" t="str">
        <f t="shared" si="66"/>
        <v>Normal</v>
      </c>
      <c r="L845">
        <f t="shared" si="67"/>
        <v>1</v>
      </c>
      <c r="M845">
        <f t="shared" si="68"/>
        <v>1</v>
      </c>
      <c r="N845" s="6">
        <f t="shared" si="69"/>
        <v>45664</v>
      </c>
    </row>
    <row r="846" spans="1:14" x14ac:dyDescent="0.3">
      <c r="A846">
        <v>157</v>
      </c>
      <c r="B846">
        <v>10076</v>
      </c>
      <c r="C846" t="s">
        <v>180</v>
      </c>
      <c r="D846" t="s">
        <v>23</v>
      </c>
      <c r="E846" t="s">
        <v>11</v>
      </c>
      <c r="F846" t="s">
        <v>12</v>
      </c>
      <c r="G846" t="s">
        <v>25</v>
      </c>
      <c r="H846">
        <v>28263.71</v>
      </c>
      <c r="I846">
        <v>0</v>
      </c>
      <c r="J846" t="str">
        <f t="shared" si="65"/>
        <v>High</v>
      </c>
      <c r="K846" t="str">
        <f t="shared" si="66"/>
        <v>Normal</v>
      </c>
      <c r="L846">
        <f t="shared" si="67"/>
        <v>1</v>
      </c>
      <c r="M846">
        <f t="shared" si="68"/>
        <v>1</v>
      </c>
      <c r="N846" s="6">
        <f t="shared" si="69"/>
        <v>45664</v>
      </c>
    </row>
    <row r="847" spans="1:14" x14ac:dyDescent="0.3">
      <c r="A847">
        <v>158</v>
      </c>
      <c r="B847">
        <v>10050</v>
      </c>
      <c r="C847" t="s">
        <v>181</v>
      </c>
      <c r="D847" t="s">
        <v>23</v>
      </c>
      <c r="E847" t="s">
        <v>11</v>
      </c>
      <c r="F847" t="s">
        <v>12</v>
      </c>
      <c r="G847" t="s">
        <v>21</v>
      </c>
      <c r="H847">
        <v>36444.58</v>
      </c>
      <c r="I847">
        <v>0</v>
      </c>
      <c r="J847" t="str">
        <f t="shared" si="65"/>
        <v>High</v>
      </c>
      <c r="K847" t="str">
        <f t="shared" si="66"/>
        <v>Normal</v>
      </c>
      <c r="L847">
        <f t="shared" si="67"/>
        <v>1</v>
      </c>
      <c r="M847">
        <f t="shared" si="68"/>
        <v>1</v>
      </c>
      <c r="N847" s="6">
        <f t="shared" si="69"/>
        <v>45664</v>
      </c>
    </row>
    <row r="848" spans="1:14" x14ac:dyDescent="0.3">
      <c r="A848">
        <v>159</v>
      </c>
      <c r="B848">
        <v>10062</v>
      </c>
      <c r="C848" t="s">
        <v>182</v>
      </c>
      <c r="D848" t="s">
        <v>29</v>
      </c>
      <c r="E848" t="s">
        <v>24</v>
      </c>
      <c r="F848" t="s">
        <v>12</v>
      </c>
      <c r="G848" t="s">
        <v>25</v>
      </c>
      <c r="H848">
        <v>19153.53</v>
      </c>
      <c r="I848">
        <v>0</v>
      </c>
      <c r="J848" t="str">
        <f t="shared" si="65"/>
        <v>High</v>
      </c>
      <c r="K848" t="str">
        <f t="shared" si="66"/>
        <v>Normal</v>
      </c>
      <c r="L848">
        <f t="shared" si="67"/>
        <v>1</v>
      </c>
      <c r="M848">
        <f t="shared" si="68"/>
        <v>1</v>
      </c>
      <c r="N848" s="6">
        <f t="shared" si="69"/>
        <v>45664</v>
      </c>
    </row>
    <row r="849" spans="1:14" x14ac:dyDescent="0.3">
      <c r="A849">
        <v>160</v>
      </c>
      <c r="B849">
        <v>10095</v>
      </c>
      <c r="C849" t="s">
        <v>183</v>
      </c>
      <c r="D849" t="s">
        <v>20</v>
      </c>
      <c r="E849" t="s">
        <v>16</v>
      </c>
      <c r="F849" t="s">
        <v>12</v>
      </c>
      <c r="G849" t="s">
        <v>21</v>
      </c>
      <c r="H849">
        <v>34771.53</v>
      </c>
      <c r="I849">
        <v>0</v>
      </c>
      <c r="J849" t="str">
        <f t="shared" si="65"/>
        <v>High</v>
      </c>
      <c r="K849" t="str">
        <f t="shared" si="66"/>
        <v>Normal</v>
      </c>
      <c r="L849">
        <f t="shared" si="67"/>
        <v>1</v>
      </c>
      <c r="M849">
        <f t="shared" si="68"/>
        <v>1</v>
      </c>
      <c r="N849" s="6">
        <f t="shared" si="69"/>
        <v>45664</v>
      </c>
    </row>
    <row r="850" spans="1:14" x14ac:dyDescent="0.3">
      <c r="A850">
        <v>161</v>
      </c>
      <c r="B850">
        <v>10051</v>
      </c>
      <c r="C850" t="s">
        <v>184</v>
      </c>
      <c r="D850" t="s">
        <v>23</v>
      </c>
      <c r="E850" t="s">
        <v>16</v>
      </c>
      <c r="F850" t="s">
        <v>12</v>
      </c>
      <c r="G850" t="s">
        <v>25</v>
      </c>
      <c r="H850">
        <v>54769.03</v>
      </c>
      <c r="I850">
        <v>0</v>
      </c>
      <c r="J850" t="str">
        <f t="shared" si="65"/>
        <v>High</v>
      </c>
      <c r="K850" t="str">
        <f t="shared" si="66"/>
        <v>Normal</v>
      </c>
      <c r="L850">
        <f t="shared" si="67"/>
        <v>1</v>
      </c>
      <c r="M850">
        <f t="shared" si="68"/>
        <v>1</v>
      </c>
      <c r="N850" s="6">
        <f t="shared" si="69"/>
        <v>45664</v>
      </c>
    </row>
    <row r="851" spans="1:14" x14ac:dyDescent="0.3">
      <c r="A851">
        <v>162</v>
      </c>
      <c r="B851">
        <v>10095</v>
      </c>
      <c r="C851" t="s">
        <v>185</v>
      </c>
      <c r="D851" t="s">
        <v>10</v>
      </c>
      <c r="E851" t="s">
        <v>11</v>
      </c>
      <c r="F851" t="s">
        <v>17</v>
      </c>
      <c r="G851" t="s">
        <v>13</v>
      </c>
      <c r="H851">
        <v>99178.11</v>
      </c>
      <c r="I851">
        <v>1</v>
      </c>
      <c r="J851" t="str">
        <f t="shared" si="65"/>
        <v>High</v>
      </c>
      <c r="K851" t="str">
        <f t="shared" si="66"/>
        <v>High Risk</v>
      </c>
      <c r="L851">
        <f t="shared" si="67"/>
        <v>1</v>
      </c>
      <c r="M851">
        <f t="shared" si="68"/>
        <v>1</v>
      </c>
      <c r="N851" s="6">
        <f t="shared" si="69"/>
        <v>45664</v>
      </c>
    </row>
    <row r="852" spans="1:14" x14ac:dyDescent="0.3">
      <c r="A852">
        <v>163</v>
      </c>
      <c r="B852">
        <v>10003</v>
      </c>
      <c r="C852" t="s">
        <v>186</v>
      </c>
      <c r="D852" t="s">
        <v>10</v>
      </c>
      <c r="E852" t="s">
        <v>16</v>
      </c>
      <c r="F852" t="s">
        <v>12</v>
      </c>
      <c r="G852" t="s">
        <v>18</v>
      </c>
      <c r="H852">
        <v>66453.75</v>
      </c>
      <c r="I852">
        <v>0</v>
      </c>
      <c r="J852" t="str">
        <f t="shared" si="65"/>
        <v>High</v>
      </c>
      <c r="K852" t="str">
        <f t="shared" si="66"/>
        <v>Normal</v>
      </c>
      <c r="L852">
        <f t="shared" si="67"/>
        <v>1</v>
      </c>
      <c r="M852">
        <f t="shared" si="68"/>
        <v>1</v>
      </c>
      <c r="N852" s="6">
        <f t="shared" si="69"/>
        <v>45664</v>
      </c>
    </row>
    <row r="853" spans="1:14" x14ac:dyDescent="0.3">
      <c r="A853">
        <v>164</v>
      </c>
      <c r="B853">
        <v>10093</v>
      </c>
      <c r="C853" t="s">
        <v>187</v>
      </c>
      <c r="D853" t="s">
        <v>23</v>
      </c>
      <c r="E853" t="s">
        <v>24</v>
      </c>
      <c r="F853" t="s">
        <v>12</v>
      </c>
      <c r="G853" t="s">
        <v>13</v>
      </c>
      <c r="H853">
        <v>20004.669999999998</v>
      </c>
      <c r="I853">
        <v>0</v>
      </c>
      <c r="J853" t="str">
        <f t="shared" si="65"/>
        <v>High</v>
      </c>
      <c r="K853" t="str">
        <f t="shared" si="66"/>
        <v>Normal</v>
      </c>
      <c r="L853">
        <f t="shared" si="67"/>
        <v>1</v>
      </c>
      <c r="M853">
        <f t="shared" si="68"/>
        <v>1</v>
      </c>
      <c r="N853" s="6">
        <f t="shared" si="69"/>
        <v>45664</v>
      </c>
    </row>
    <row r="854" spans="1:14" x14ac:dyDescent="0.3">
      <c r="A854">
        <v>165</v>
      </c>
      <c r="B854">
        <v>10022</v>
      </c>
      <c r="C854" t="s">
        <v>188</v>
      </c>
      <c r="D854" t="s">
        <v>20</v>
      </c>
      <c r="E854" t="s">
        <v>24</v>
      </c>
      <c r="F854" t="s">
        <v>17</v>
      </c>
      <c r="G854" t="s">
        <v>13</v>
      </c>
      <c r="H854">
        <v>4591.6499999999996</v>
      </c>
      <c r="I854">
        <v>0</v>
      </c>
      <c r="J854" t="str">
        <f t="shared" si="65"/>
        <v>High</v>
      </c>
      <c r="K854" t="str">
        <f t="shared" si="66"/>
        <v>Normal</v>
      </c>
      <c r="L854">
        <f t="shared" si="67"/>
        <v>1</v>
      </c>
      <c r="M854">
        <f t="shared" si="68"/>
        <v>1</v>
      </c>
      <c r="N854" s="6">
        <f t="shared" si="69"/>
        <v>45664</v>
      </c>
    </row>
    <row r="855" spans="1:14" x14ac:dyDescent="0.3">
      <c r="A855">
        <v>166</v>
      </c>
      <c r="B855">
        <v>10014</v>
      </c>
      <c r="C855" t="s">
        <v>189</v>
      </c>
      <c r="D855" t="s">
        <v>10</v>
      </c>
      <c r="E855" t="s">
        <v>11</v>
      </c>
      <c r="F855" t="s">
        <v>17</v>
      </c>
      <c r="G855" t="s">
        <v>18</v>
      </c>
      <c r="H855">
        <v>12723.01</v>
      </c>
      <c r="I855">
        <v>0</v>
      </c>
      <c r="J855" t="str">
        <f t="shared" si="65"/>
        <v>High</v>
      </c>
      <c r="K855" t="str">
        <f t="shared" si="66"/>
        <v>Normal</v>
      </c>
      <c r="L855">
        <f t="shared" si="67"/>
        <v>1</v>
      </c>
      <c r="M855">
        <f t="shared" si="68"/>
        <v>1</v>
      </c>
      <c r="N855" s="6">
        <f t="shared" si="69"/>
        <v>45664</v>
      </c>
    </row>
    <row r="856" spans="1:14" x14ac:dyDescent="0.3">
      <c r="A856">
        <v>167</v>
      </c>
      <c r="B856">
        <v>10042</v>
      </c>
      <c r="C856" t="s">
        <v>190</v>
      </c>
      <c r="D856" t="s">
        <v>29</v>
      </c>
      <c r="E856" t="s">
        <v>24</v>
      </c>
      <c r="F856" t="s">
        <v>12</v>
      </c>
      <c r="G856" t="s">
        <v>18</v>
      </c>
      <c r="H856">
        <v>56299.26</v>
      </c>
      <c r="I856">
        <v>0</v>
      </c>
      <c r="J856" t="str">
        <f t="shared" si="65"/>
        <v>High</v>
      </c>
      <c r="K856" t="str">
        <f t="shared" si="66"/>
        <v>Normal</v>
      </c>
      <c r="L856">
        <f t="shared" si="67"/>
        <v>1</v>
      </c>
      <c r="M856">
        <f t="shared" si="68"/>
        <v>1</v>
      </c>
      <c r="N856" s="6">
        <f t="shared" si="69"/>
        <v>45664</v>
      </c>
    </row>
    <row r="857" spans="1:14" x14ac:dyDescent="0.3">
      <c r="A857">
        <v>168</v>
      </c>
      <c r="B857">
        <v>10028</v>
      </c>
      <c r="C857" t="s">
        <v>191</v>
      </c>
      <c r="D857" t="s">
        <v>10</v>
      </c>
      <c r="E857" t="s">
        <v>11</v>
      </c>
      <c r="F857" t="s">
        <v>17</v>
      </c>
      <c r="G857" t="s">
        <v>31</v>
      </c>
      <c r="H857">
        <v>76539.520000000004</v>
      </c>
      <c r="I857">
        <v>1</v>
      </c>
      <c r="J857" t="str">
        <f t="shared" si="65"/>
        <v>High</v>
      </c>
      <c r="K857" t="str">
        <f t="shared" si="66"/>
        <v>High Risk</v>
      </c>
      <c r="L857">
        <f t="shared" si="67"/>
        <v>1</v>
      </c>
      <c r="M857">
        <f t="shared" si="68"/>
        <v>1</v>
      </c>
      <c r="N857" s="6">
        <f t="shared" si="69"/>
        <v>45664</v>
      </c>
    </row>
    <row r="858" spans="1:14" x14ac:dyDescent="0.3">
      <c r="A858">
        <v>121</v>
      </c>
      <c r="B858">
        <v>10034</v>
      </c>
      <c r="C858" t="s">
        <v>144</v>
      </c>
      <c r="D858" t="s">
        <v>29</v>
      </c>
      <c r="E858" t="s">
        <v>24</v>
      </c>
      <c r="F858" t="s">
        <v>12</v>
      </c>
      <c r="G858" t="s">
        <v>18</v>
      </c>
      <c r="H858">
        <v>98531.85</v>
      </c>
      <c r="I858">
        <v>0</v>
      </c>
      <c r="J858" t="str">
        <f t="shared" si="65"/>
        <v>High</v>
      </c>
      <c r="K858" t="str">
        <f t="shared" si="66"/>
        <v>Normal</v>
      </c>
      <c r="L858">
        <f t="shared" si="67"/>
        <v>1</v>
      </c>
      <c r="M858">
        <f t="shared" si="68"/>
        <v>1</v>
      </c>
      <c r="N858" s="6">
        <f t="shared" si="69"/>
        <v>45663</v>
      </c>
    </row>
    <row r="859" spans="1:14" x14ac:dyDescent="0.3">
      <c r="A859">
        <v>122</v>
      </c>
      <c r="B859">
        <v>10032</v>
      </c>
      <c r="C859" t="s">
        <v>145</v>
      </c>
      <c r="D859" t="s">
        <v>15</v>
      </c>
      <c r="E859" t="s">
        <v>16</v>
      </c>
      <c r="F859" t="s">
        <v>12</v>
      </c>
      <c r="G859" t="s">
        <v>31</v>
      </c>
      <c r="H859">
        <v>16685.580000000002</v>
      </c>
      <c r="I859">
        <v>0</v>
      </c>
      <c r="J859" t="str">
        <f t="shared" si="65"/>
        <v>High</v>
      </c>
      <c r="K859" t="str">
        <f t="shared" si="66"/>
        <v>Normal</v>
      </c>
      <c r="L859">
        <f t="shared" si="67"/>
        <v>1</v>
      </c>
      <c r="M859">
        <f t="shared" si="68"/>
        <v>1</v>
      </c>
      <c r="N859" s="6">
        <f t="shared" si="69"/>
        <v>45663</v>
      </c>
    </row>
    <row r="860" spans="1:14" x14ac:dyDescent="0.3">
      <c r="A860">
        <v>123</v>
      </c>
      <c r="B860">
        <v>10004</v>
      </c>
      <c r="C860" t="s">
        <v>146</v>
      </c>
      <c r="D860" t="s">
        <v>20</v>
      </c>
      <c r="E860" t="s">
        <v>24</v>
      </c>
      <c r="F860" t="s">
        <v>17</v>
      </c>
      <c r="G860" t="s">
        <v>18</v>
      </c>
      <c r="H860">
        <v>11531.71</v>
      </c>
      <c r="I860">
        <v>0</v>
      </c>
      <c r="J860" t="str">
        <f t="shared" si="65"/>
        <v>High</v>
      </c>
      <c r="K860" t="str">
        <f t="shared" si="66"/>
        <v>Normal</v>
      </c>
      <c r="L860">
        <f t="shared" si="67"/>
        <v>1</v>
      </c>
      <c r="M860">
        <f t="shared" si="68"/>
        <v>1</v>
      </c>
      <c r="N860" s="6">
        <f t="shared" si="69"/>
        <v>45663</v>
      </c>
    </row>
    <row r="861" spans="1:14" x14ac:dyDescent="0.3">
      <c r="A861">
        <v>124</v>
      </c>
      <c r="B861">
        <v>10040</v>
      </c>
      <c r="C861" t="s">
        <v>147</v>
      </c>
      <c r="D861" t="s">
        <v>23</v>
      </c>
      <c r="E861" t="s">
        <v>24</v>
      </c>
      <c r="F861" t="s">
        <v>17</v>
      </c>
      <c r="G861" t="s">
        <v>31</v>
      </c>
      <c r="H861">
        <v>969.74</v>
      </c>
      <c r="I861">
        <v>0</v>
      </c>
      <c r="J861" t="str">
        <f t="shared" si="65"/>
        <v>High</v>
      </c>
      <c r="K861" t="str">
        <f t="shared" si="66"/>
        <v>Normal</v>
      </c>
      <c r="L861">
        <f t="shared" si="67"/>
        <v>1</v>
      </c>
      <c r="M861">
        <f t="shared" si="68"/>
        <v>1</v>
      </c>
      <c r="N861" s="6">
        <f t="shared" si="69"/>
        <v>45663</v>
      </c>
    </row>
    <row r="862" spans="1:14" x14ac:dyDescent="0.3">
      <c r="A862">
        <v>125</v>
      </c>
      <c r="B862">
        <v>10027</v>
      </c>
      <c r="C862" t="s">
        <v>148</v>
      </c>
      <c r="D862" t="s">
        <v>20</v>
      </c>
      <c r="E862" t="s">
        <v>11</v>
      </c>
      <c r="F862" t="s">
        <v>17</v>
      </c>
      <c r="G862" t="s">
        <v>13</v>
      </c>
      <c r="H862">
        <v>15641.59</v>
      </c>
      <c r="I862">
        <v>0</v>
      </c>
      <c r="J862" t="str">
        <f t="shared" si="65"/>
        <v>High</v>
      </c>
      <c r="K862" t="str">
        <f t="shared" si="66"/>
        <v>Normal</v>
      </c>
      <c r="L862">
        <f t="shared" si="67"/>
        <v>1</v>
      </c>
      <c r="M862">
        <f t="shared" si="68"/>
        <v>1</v>
      </c>
      <c r="N862" s="6">
        <f t="shared" si="69"/>
        <v>45663</v>
      </c>
    </row>
    <row r="863" spans="1:14" x14ac:dyDescent="0.3">
      <c r="A863">
        <v>126</v>
      </c>
      <c r="B863">
        <v>10006</v>
      </c>
      <c r="C863" t="s">
        <v>149</v>
      </c>
      <c r="D863" t="s">
        <v>29</v>
      </c>
      <c r="E863" t="s">
        <v>11</v>
      </c>
      <c r="F863" t="s">
        <v>17</v>
      </c>
      <c r="G863" t="s">
        <v>21</v>
      </c>
      <c r="H863">
        <v>20806.57</v>
      </c>
      <c r="I863">
        <v>0</v>
      </c>
      <c r="J863" t="str">
        <f t="shared" si="65"/>
        <v>High</v>
      </c>
      <c r="K863" t="str">
        <f t="shared" si="66"/>
        <v>Normal</v>
      </c>
      <c r="L863">
        <f t="shared" si="67"/>
        <v>1</v>
      </c>
      <c r="M863">
        <f t="shared" si="68"/>
        <v>1</v>
      </c>
      <c r="N863" s="6">
        <f t="shared" si="69"/>
        <v>45663</v>
      </c>
    </row>
    <row r="864" spans="1:14" x14ac:dyDescent="0.3">
      <c r="A864">
        <v>127</v>
      </c>
      <c r="B864">
        <v>10072</v>
      </c>
      <c r="C864" t="s">
        <v>150</v>
      </c>
      <c r="D864" t="s">
        <v>15</v>
      </c>
      <c r="E864" t="s">
        <v>24</v>
      </c>
      <c r="F864" t="s">
        <v>12</v>
      </c>
      <c r="G864" t="s">
        <v>13</v>
      </c>
      <c r="H864">
        <v>63095.040000000001</v>
      </c>
      <c r="I864">
        <v>0</v>
      </c>
      <c r="J864" t="str">
        <f t="shared" si="65"/>
        <v>High</v>
      </c>
      <c r="K864" t="str">
        <f t="shared" si="66"/>
        <v>Normal</v>
      </c>
      <c r="L864">
        <f t="shared" si="67"/>
        <v>1</v>
      </c>
      <c r="M864">
        <f t="shared" si="68"/>
        <v>1</v>
      </c>
      <c r="N864" s="6">
        <f t="shared" si="69"/>
        <v>45663</v>
      </c>
    </row>
    <row r="865" spans="1:14" x14ac:dyDescent="0.3">
      <c r="A865">
        <v>128</v>
      </c>
      <c r="B865">
        <v>10071</v>
      </c>
      <c r="C865" t="s">
        <v>151</v>
      </c>
      <c r="D865" t="s">
        <v>15</v>
      </c>
      <c r="E865" t="s">
        <v>16</v>
      </c>
      <c r="F865" t="s">
        <v>17</v>
      </c>
      <c r="G865" t="s">
        <v>21</v>
      </c>
      <c r="H865">
        <v>22048.71</v>
      </c>
      <c r="I865">
        <v>0</v>
      </c>
      <c r="J865" t="str">
        <f t="shared" si="65"/>
        <v>High</v>
      </c>
      <c r="K865" t="str">
        <f t="shared" si="66"/>
        <v>Normal</v>
      </c>
      <c r="L865">
        <f t="shared" si="67"/>
        <v>1</v>
      </c>
      <c r="M865">
        <f t="shared" si="68"/>
        <v>1</v>
      </c>
      <c r="N865" s="6">
        <f t="shared" si="69"/>
        <v>45663</v>
      </c>
    </row>
    <row r="866" spans="1:14" x14ac:dyDescent="0.3">
      <c r="A866">
        <v>129</v>
      </c>
      <c r="B866">
        <v>10011</v>
      </c>
      <c r="C866" t="s">
        <v>152</v>
      </c>
      <c r="D866" t="s">
        <v>29</v>
      </c>
      <c r="E866" t="s">
        <v>11</v>
      </c>
      <c r="F866" t="s">
        <v>17</v>
      </c>
      <c r="G866" t="s">
        <v>21</v>
      </c>
      <c r="H866">
        <v>2150.0300000000002</v>
      </c>
      <c r="I866">
        <v>0</v>
      </c>
      <c r="J866" t="str">
        <f t="shared" si="65"/>
        <v>High</v>
      </c>
      <c r="K866" t="str">
        <f t="shared" si="66"/>
        <v>Normal</v>
      </c>
      <c r="L866">
        <f t="shared" si="67"/>
        <v>1</v>
      </c>
      <c r="M866">
        <f t="shared" si="68"/>
        <v>1</v>
      </c>
      <c r="N866" s="6">
        <f t="shared" si="69"/>
        <v>45663</v>
      </c>
    </row>
    <row r="867" spans="1:14" x14ac:dyDescent="0.3">
      <c r="A867">
        <v>130</v>
      </c>
      <c r="B867">
        <v>10033</v>
      </c>
      <c r="C867" t="s">
        <v>153</v>
      </c>
      <c r="D867" t="s">
        <v>29</v>
      </c>
      <c r="E867" t="s">
        <v>16</v>
      </c>
      <c r="F867" t="s">
        <v>12</v>
      </c>
      <c r="G867" t="s">
        <v>18</v>
      </c>
      <c r="H867">
        <v>82679.17</v>
      </c>
      <c r="I867">
        <v>0</v>
      </c>
      <c r="J867" t="str">
        <f t="shared" si="65"/>
        <v>High</v>
      </c>
      <c r="K867" t="str">
        <f t="shared" si="66"/>
        <v>Normal</v>
      </c>
      <c r="L867">
        <f t="shared" si="67"/>
        <v>1</v>
      </c>
      <c r="M867">
        <f t="shared" si="68"/>
        <v>1</v>
      </c>
      <c r="N867" s="6">
        <f t="shared" si="69"/>
        <v>45663</v>
      </c>
    </row>
    <row r="868" spans="1:14" x14ac:dyDescent="0.3">
      <c r="A868">
        <v>131</v>
      </c>
      <c r="B868">
        <v>10032</v>
      </c>
      <c r="C868" t="s">
        <v>154</v>
      </c>
      <c r="D868" t="s">
        <v>23</v>
      </c>
      <c r="E868" t="s">
        <v>16</v>
      </c>
      <c r="F868" t="s">
        <v>17</v>
      </c>
      <c r="G868" t="s">
        <v>13</v>
      </c>
      <c r="H868">
        <v>36623.01</v>
      </c>
      <c r="I868">
        <v>0</v>
      </c>
      <c r="J868" t="str">
        <f t="shared" si="65"/>
        <v>High</v>
      </c>
      <c r="K868" t="str">
        <f t="shared" si="66"/>
        <v>Normal</v>
      </c>
      <c r="L868">
        <f t="shared" si="67"/>
        <v>1</v>
      </c>
      <c r="M868">
        <f t="shared" si="68"/>
        <v>1</v>
      </c>
      <c r="N868" s="6">
        <f t="shared" si="69"/>
        <v>45663</v>
      </c>
    </row>
    <row r="869" spans="1:14" x14ac:dyDescent="0.3">
      <c r="A869">
        <v>132</v>
      </c>
      <c r="B869">
        <v>10047</v>
      </c>
      <c r="C869" t="s">
        <v>155</v>
      </c>
      <c r="D869" t="s">
        <v>15</v>
      </c>
      <c r="E869" t="s">
        <v>24</v>
      </c>
      <c r="F869" t="s">
        <v>17</v>
      </c>
      <c r="G869" t="s">
        <v>31</v>
      </c>
      <c r="H869">
        <v>35434.300000000003</v>
      </c>
      <c r="I869">
        <v>0</v>
      </c>
      <c r="J869" t="str">
        <f t="shared" si="65"/>
        <v>High</v>
      </c>
      <c r="K869" t="str">
        <f t="shared" si="66"/>
        <v>Normal</v>
      </c>
      <c r="L869">
        <f t="shared" si="67"/>
        <v>1</v>
      </c>
      <c r="M869">
        <f t="shared" si="68"/>
        <v>1</v>
      </c>
      <c r="N869" s="6">
        <f t="shared" si="69"/>
        <v>45663</v>
      </c>
    </row>
    <row r="870" spans="1:14" x14ac:dyDescent="0.3">
      <c r="A870">
        <v>133</v>
      </c>
      <c r="B870">
        <v>10022</v>
      </c>
      <c r="C870" t="s">
        <v>156</v>
      </c>
      <c r="D870" t="s">
        <v>20</v>
      </c>
      <c r="E870" t="s">
        <v>24</v>
      </c>
      <c r="F870" t="s">
        <v>12</v>
      </c>
      <c r="G870" t="s">
        <v>13</v>
      </c>
      <c r="H870">
        <v>30317.66</v>
      </c>
      <c r="I870">
        <v>0</v>
      </c>
      <c r="J870" t="str">
        <f t="shared" si="65"/>
        <v>High</v>
      </c>
      <c r="K870" t="str">
        <f t="shared" si="66"/>
        <v>Normal</v>
      </c>
      <c r="L870">
        <f t="shared" si="67"/>
        <v>1</v>
      </c>
      <c r="M870">
        <f t="shared" si="68"/>
        <v>1</v>
      </c>
      <c r="N870" s="6">
        <f t="shared" si="69"/>
        <v>45663</v>
      </c>
    </row>
    <row r="871" spans="1:14" x14ac:dyDescent="0.3">
      <c r="A871">
        <v>134</v>
      </c>
      <c r="B871">
        <v>10061</v>
      </c>
      <c r="C871" t="s">
        <v>157</v>
      </c>
      <c r="D871" t="s">
        <v>10</v>
      </c>
      <c r="E871" t="s">
        <v>24</v>
      </c>
      <c r="F871" t="s">
        <v>17</v>
      </c>
      <c r="G871" t="s">
        <v>18</v>
      </c>
      <c r="H871">
        <v>97539.79</v>
      </c>
      <c r="I871">
        <v>0</v>
      </c>
      <c r="J871" t="str">
        <f t="shared" si="65"/>
        <v>High</v>
      </c>
      <c r="K871" t="str">
        <f t="shared" si="66"/>
        <v>Normal</v>
      </c>
      <c r="L871">
        <f t="shared" si="67"/>
        <v>1</v>
      </c>
      <c r="M871">
        <f t="shared" si="68"/>
        <v>1</v>
      </c>
      <c r="N871" s="6">
        <f t="shared" si="69"/>
        <v>45663</v>
      </c>
    </row>
    <row r="872" spans="1:14" x14ac:dyDescent="0.3">
      <c r="A872">
        <v>135</v>
      </c>
      <c r="B872">
        <v>10087</v>
      </c>
      <c r="C872" t="s">
        <v>158</v>
      </c>
      <c r="D872" t="s">
        <v>10</v>
      </c>
      <c r="E872" t="s">
        <v>24</v>
      </c>
      <c r="F872" t="s">
        <v>17</v>
      </c>
      <c r="G872" t="s">
        <v>21</v>
      </c>
      <c r="H872">
        <v>17094.53</v>
      </c>
      <c r="I872">
        <v>0</v>
      </c>
      <c r="J872" t="str">
        <f t="shared" si="65"/>
        <v>High</v>
      </c>
      <c r="K872" t="str">
        <f t="shared" si="66"/>
        <v>Normal</v>
      </c>
      <c r="L872">
        <f t="shared" si="67"/>
        <v>1</v>
      </c>
      <c r="M872">
        <f t="shared" si="68"/>
        <v>1</v>
      </c>
      <c r="N872" s="6">
        <f t="shared" si="69"/>
        <v>45663</v>
      </c>
    </row>
    <row r="873" spans="1:14" x14ac:dyDescent="0.3">
      <c r="A873">
        <v>136</v>
      </c>
      <c r="B873">
        <v>10036</v>
      </c>
      <c r="C873" t="s">
        <v>159</v>
      </c>
      <c r="D873" t="s">
        <v>29</v>
      </c>
      <c r="E873" t="s">
        <v>11</v>
      </c>
      <c r="F873" t="s">
        <v>17</v>
      </c>
      <c r="G873" t="s">
        <v>18</v>
      </c>
      <c r="H873">
        <v>89833.98</v>
      </c>
      <c r="I873">
        <v>1</v>
      </c>
      <c r="J873" t="str">
        <f t="shared" si="65"/>
        <v>High</v>
      </c>
      <c r="K873" t="str">
        <f t="shared" si="66"/>
        <v>High Risk</v>
      </c>
      <c r="L873">
        <f t="shared" si="67"/>
        <v>1</v>
      </c>
      <c r="M873">
        <f t="shared" si="68"/>
        <v>1</v>
      </c>
      <c r="N873" s="6">
        <f t="shared" si="69"/>
        <v>45663</v>
      </c>
    </row>
    <row r="874" spans="1:14" x14ac:dyDescent="0.3">
      <c r="A874">
        <v>137</v>
      </c>
      <c r="B874">
        <v>10098</v>
      </c>
      <c r="C874" t="s">
        <v>160</v>
      </c>
      <c r="D874" t="s">
        <v>23</v>
      </c>
      <c r="E874" t="s">
        <v>11</v>
      </c>
      <c r="F874" t="s">
        <v>17</v>
      </c>
      <c r="G874" t="s">
        <v>25</v>
      </c>
      <c r="H874">
        <v>77702.649999999994</v>
      </c>
      <c r="I874">
        <v>1</v>
      </c>
      <c r="J874" t="str">
        <f t="shared" si="65"/>
        <v>High</v>
      </c>
      <c r="K874" t="str">
        <f t="shared" si="66"/>
        <v>High Risk</v>
      </c>
      <c r="L874">
        <f t="shared" si="67"/>
        <v>1</v>
      </c>
      <c r="M874">
        <f t="shared" si="68"/>
        <v>1</v>
      </c>
      <c r="N874" s="6">
        <f t="shared" si="69"/>
        <v>45663</v>
      </c>
    </row>
    <row r="875" spans="1:14" x14ac:dyDescent="0.3">
      <c r="A875">
        <v>138</v>
      </c>
      <c r="B875">
        <v>10043</v>
      </c>
      <c r="C875" t="s">
        <v>161</v>
      </c>
      <c r="D875" t="s">
        <v>10</v>
      </c>
      <c r="E875" t="s">
        <v>24</v>
      </c>
      <c r="F875" t="s">
        <v>17</v>
      </c>
      <c r="G875" t="s">
        <v>25</v>
      </c>
      <c r="H875">
        <v>7740.35</v>
      </c>
      <c r="I875">
        <v>0</v>
      </c>
      <c r="J875" t="str">
        <f t="shared" si="65"/>
        <v>High</v>
      </c>
      <c r="K875" t="str">
        <f t="shared" si="66"/>
        <v>Normal</v>
      </c>
      <c r="L875">
        <f t="shared" si="67"/>
        <v>1</v>
      </c>
      <c r="M875">
        <f t="shared" si="68"/>
        <v>1</v>
      </c>
      <c r="N875" s="6">
        <f t="shared" si="69"/>
        <v>45663</v>
      </c>
    </row>
    <row r="876" spans="1:14" x14ac:dyDescent="0.3">
      <c r="A876">
        <v>139</v>
      </c>
      <c r="B876">
        <v>10085</v>
      </c>
      <c r="C876" t="s">
        <v>162</v>
      </c>
      <c r="D876" t="s">
        <v>15</v>
      </c>
      <c r="E876" t="s">
        <v>11</v>
      </c>
      <c r="F876" t="s">
        <v>12</v>
      </c>
      <c r="G876" t="s">
        <v>31</v>
      </c>
      <c r="H876">
        <v>98674.240000000005</v>
      </c>
      <c r="I876">
        <v>1</v>
      </c>
      <c r="J876" t="str">
        <f t="shared" si="65"/>
        <v>High</v>
      </c>
      <c r="K876" t="str">
        <f t="shared" si="66"/>
        <v>High Risk</v>
      </c>
      <c r="L876">
        <f t="shared" si="67"/>
        <v>1</v>
      </c>
      <c r="M876">
        <f t="shared" si="68"/>
        <v>1</v>
      </c>
      <c r="N876" s="6">
        <f t="shared" si="69"/>
        <v>45663</v>
      </c>
    </row>
    <row r="877" spans="1:14" x14ac:dyDescent="0.3">
      <c r="A877">
        <v>140</v>
      </c>
      <c r="B877">
        <v>10090</v>
      </c>
      <c r="C877" t="s">
        <v>163</v>
      </c>
      <c r="D877" t="s">
        <v>29</v>
      </c>
      <c r="E877" t="s">
        <v>24</v>
      </c>
      <c r="F877" t="s">
        <v>12</v>
      </c>
      <c r="G877" t="s">
        <v>18</v>
      </c>
      <c r="H877">
        <v>27209.46</v>
      </c>
      <c r="I877">
        <v>0</v>
      </c>
      <c r="J877" t="str">
        <f t="shared" si="65"/>
        <v>High</v>
      </c>
      <c r="K877" t="str">
        <f t="shared" si="66"/>
        <v>Normal</v>
      </c>
      <c r="L877">
        <f t="shared" si="67"/>
        <v>1</v>
      </c>
      <c r="M877">
        <f t="shared" si="68"/>
        <v>1</v>
      </c>
      <c r="N877" s="6">
        <f t="shared" si="69"/>
        <v>45663</v>
      </c>
    </row>
    <row r="878" spans="1:14" x14ac:dyDescent="0.3">
      <c r="A878">
        <v>141</v>
      </c>
      <c r="B878">
        <v>10034</v>
      </c>
      <c r="C878" t="s">
        <v>164</v>
      </c>
      <c r="D878" t="s">
        <v>20</v>
      </c>
      <c r="E878" t="s">
        <v>16</v>
      </c>
      <c r="F878" t="s">
        <v>12</v>
      </c>
      <c r="G878" t="s">
        <v>31</v>
      </c>
      <c r="H878">
        <v>9948.43</v>
      </c>
      <c r="I878">
        <v>0</v>
      </c>
      <c r="J878" t="str">
        <f t="shared" si="65"/>
        <v>High</v>
      </c>
      <c r="K878" t="str">
        <f t="shared" si="66"/>
        <v>Normal</v>
      </c>
      <c r="L878">
        <f t="shared" si="67"/>
        <v>1</v>
      </c>
      <c r="M878">
        <f t="shared" si="68"/>
        <v>1</v>
      </c>
      <c r="N878" s="6">
        <f t="shared" si="69"/>
        <v>45663</v>
      </c>
    </row>
    <row r="879" spans="1:14" x14ac:dyDescent="0.3">
      <c r="A879">
        <v>142</v>
      </c>
      <c r="B879">
        <v>10064</v>
      </c>
      <c r="C879" t="s">
        <v>165</v>
      </c>
      <c r="D879" t="s">
        <v>29</v>
      </c>
      <c r="E879" t="s">
        <v>16</v>
      </c>
      <c r="F879" t="s">
        <v>12</v>
      </c>
      <c r="G879" t="s">
        <v>31</v>
      </c>
      <c r="H879">
        <v>82948.490000000005</v>
      </c>
      <c r="I879">
        <v>0</v>
      </c>
      <c r="J879" t="str">
        <f t="shared" si="65"/>
        <v>High</v>
      </c>
      <c r="K879" t="str">
        <f t="shared" si="66"/>
        <v>Normal</v>
      </c>
      <c r="L879">
        <f t="shared" si="67"/>
        <v>1</v>
      </c>
      <c r="M879">
        <f t="shared" si="68"/>
        <v>1</v>
      </c>
      <c r="N879" s="6">
        <f t="shared" si="69"/>
        <v>45663</v>
      </c>
    </row>
    <row r="880" spans="1:14" x14ac:dyDescent="0.3">
      <c r="A880">
        <v>143</v>
      </c>
      <c r="B880">
        <v>10098</v>
      </c>
      <c r="C880" t="s">
        <v>166</v>
      </c>
      <c r="D880" t="s">
        <v>20</v>
      </c>
      <c r="E880" t="s">
        <v>16</v>
      </c>
      <c r="F880" t="s">
        <v>12</v>
      </c>
      <c r="G880" t="s">
        <v>25</v>
      </c>
      <c r="H880">
        <v>70696.89</v>
      </c>
      <c r="I880">
        <v>0</v>
      </c>
      <c r="J880" t="str">
        <f t="shared" si="65"/>
        <v>High</v>
      </c>
      <c r="K880" t="str">
        <f t="shared" si="66"/>
        <v>Normal</v>
      </c>
      <c r="L880">
        <f t="shared" si="67"/>
        <v>1</v>
      </c>
      <c r="M880">
        <f t="shared" si="68"/>
        <v>1</v>
      </c>
      <c r="N880" s="6">
        <f t="shared" si="69"/>
        <v>45663</v>
      </c>
    </row>
    <row r="881" spans="1:14" x14ac:dyDescent="0.3">
      <c r="A881">
        <v>144</v>
      </c>
      <c r="B881">
        <v>10046</v>
      </c>
      <c r="C881" t="s">
        <v>167</v>
      </c>
      <c r="D881" t="s">
        <v>29</v>
      </c>
      <c r="E881" t="s">
        <v>24</v>
      </c>
      <c r="F881" t="s">
        <v>12</v>
      </c>
      <c r="G881" t="s">
        <v>31</v>
      </c>
      <c r="H881">
        <v>61760.160000000003</v>
      </c>
      <c r="I881">
        <v>0</v>
      </c>
      <c r="J881" t="str">
        <f t="shared" si="65"/>
        <v>High</v>
      </c>
      <c r="K881" t="str">
        <f t="shared" si="66"/>
        <v>Normal</v>
      </c>
      <c r="L881">
        <f t="shared" si="67"/>
        <v>1</v>
      </c>
      <c r="M881">
        <f t="shared" si="68"/>
        <v>1</v>
      </c>
      <c r="N881" s="6">
        <f t="shared" si="69"/>
        <v>45663</v>
      </c>
    </row>
    <row r="882" spans="1:14" x14ac:dyDescent="0.3">
      <c r="A882">
        <v>97</v>
      </c>
      <c r="B882">
        <v>10079</v>
      </c>
      <c r="C882" t="s">
        <v>120</v>
      </c>
      <c r="D882" t="s">
        <v>23</v>
      </c>
      <c r="E882" t="s">
        <v>11</v>
      </c>
      <c r="F882" t="s">
        <v>12</v>
      </c>
      <c r="G882" t="s">
        <v>31</v>
      </c>
      <c r="H882">
        <v>20135.240000000002</v>
      </c>
      <c r="I882">
        <v>0</v>
      </c>
      <c r="J882" t="str">
        <f t="shared" si="65"/>
        <v>High</v>
      </c>
      <c r="K882" t="str">
        <f t="shared" si="66"/>
        <v>Normal</v>
      </c>
      <c r="L882">
        <f t="shared" si="67"/>
        <v>1</v>
      </c>
      <c r="M882">
        <f t="shared" si="68"/>
        <v>1</v>
      </c>
      <c r="N882" s="6">
        <f t="shared" si="69"/>
        <v>45662</v>
      </c>
    </row>
    <row r="883" spans="1:14" x14ac:dyDescent="0.3">
      <c r="A883">
        <v>98</v>
      </c>
      <c r="B883">
        <v>10081</v>
      </c>
      <c r="C883" t="s">
        <v>121</v>
      </c>
      <c r="D883" t="s">
        <v>23</v>
      </c>
      <c r="E883" t="s">
        <v>16</v>
      </c>
      <c r="F883" t="s">
        <v>12</v>
      </c>
      <c r="G883" t="s">
        <v>25</v>
      </c>
      <c r="H883">
        <v>21701.08</v>
      </c>
      <c r="I883">
        <v>0</v>
      </c>
      <c r="J883" t="str">
        <f t="shared" si="65"/>
        <v>High</v>
      </c>
      <c r="K883" t="str">
        <f t="shared" si="66"/>
        <v>Normal</v>
      </c>
      <c r="L883">
        <f t="shared" si="67"/>
        <v>1</v>
      </c>
      <c r="M883">
        <f t="shared" si="68"/>
        <v>1</v>
      </c>
      <c r="N883" s="6">
        <f t="shared" si="69"/>
        <v>45662</v>
      </c>
    </row>
    <row r="884" spans="1:14" x14ac:dyDescent="0.3">
      <c r="A884">
        <v>99</v>
      </c>
      <c r="B884">
        <v>10052</v>
      </c>
      <c r="C884" t="s">
        <v>122</v>
      </c>
      <c r="D884" t="s">
        <v>10</v>
      </c>
      <c r="E884" t="s">
        <v>16</v>
      </c>
      <c r="F884" t="s">
        <v>17</v>
      </c>
      <c r="G884" t="s">
        <v>21</v>
      </c>
      <c r="H884">
        <v>69152.06</v>
      </c>
      <c r="I884">
        <v>0</v>
      </c>
      <c r="J884" t="str">
        <f t="shared" si="65"/>
        <v>High</v>
      </c>
      <c r="K884" t="str">
        <f t="shared" si="66"/>
        <v>Normal</v>
      </c>
      <c r="L884">
        <f t="shared" si="67"/>
        <v>1</v>
      </c>
      <c r="M884">
        <f t="shared" si="68"/>
        <v>1</v>
      </c>
      <c r="N884" s="6">
        <f t="shared" si="69"/>
        <v>45662</v>
      </c>
    </row>
    <row r="885" spans="1:14" x14ac:dyDescent="0.3">
      <c r="A885">
        <v>100</v>
      </c>
      <c r="B885">
        <v>10023</v>
      </c>
      <c r="C885" t="s">
        <v>123</v>
      </c>
      <c r="D885" t="s">
        <v>20</v>
      </c>
      <c r="E885" t="s">
        <v>16</v>
      </c>
      <c r="F885" t="s">
        <v>12</v>
      </c>
      <c r="G885" t="s">
        <v>31</v>
      </c>
      <c r="H885">
        <v>60343.65</v>
      </c>
      <c r="I885">
        <v>0</v>
      </c>
      <c r="J885" t="str">
        <f t="shared" si="65"/>
        <v>High</v>
      </c>
      <c r="K885" t="str">
        <f t="shared" si="66"/>
        <v>Normal</v>
      </c>
      <c r="L885">
        <f t="shared" si="67"/>
        <v>1</v>
      </c>
      <c r="M885">
        <f t="shared" si="68"/>
        <v>1</v>
      </c>
      <c r="N885" s="6">
        <f t="shared" si="69"/>
        <v>45662</v>
      </c>
    </row>
    <row r="886" spans="1:14" x14ac:dyDescent="0.3">
      <c r="A886">
        <v>101</v>
      </c>
      <c r="B886">
        <v>10025</v>
      </c>
      <c r="C886" t="s">
        <v>124</v>
      </c>
      <c r="D886" t="s">
        <v>15</v>
      </c>
      <c r="E886" t="s">
        <v>16</v>
      </c>
      <c r="F886" t="s">
        <v>17</v>
      </c>
      <c r="G886" t="s">
        <v>31</v>
      </c>
      <c r="H886">
        <v>61937.26</v>
      </c>
      <c r="I886">
        <v>0</v>
      </c>
      <c r="J886" t="str">
        <f t="shared" si="65"/>
        <v>High</v>
      </c>
      <c r="K886" t="str">
        <f t="shared" si="66"/>
        <v>Normal</v>
      </c>
      <c r="L886">
        <f t="shared" si="67"/>
        <v>1</v>
      </c>
      <c r="M886">
        <f t="shared" si="68"/>
        <v>1</v>
      </c>
      <c r="N886" s="6">
        <f t="shared" si="69"/>
        <v>45662</v>
      </c>
    </row>
    <row r="887" spans="1:14" x14ac:dyDescent="0.3">
      <c r="A887">
        <v>102</v>
      </c>
      <c r="B887">
        <v>10088</v>
      </c>
      <c r="C887" t="s">
        <v>125</v>
      </c>
      <c r="D887" t="s">
        <v>29</v>
      </c>
      <c r="E887" t="s">
        <v>24</v>
      </c>
      <c r="F887" t="s">
        <v>17</v>
      </c>
      <c r="G887" t="s">
        <v>21</v>
      </c>
      <c r="H887">
        <v>94083.25</v>
      </c>
      <c r="I887">
        <v>0</v>
      </c>
      <c r="J887" t="str">
        <f t="shared" si="65"/>
        <v>High</v>
      </c>
      <c r="K887" t="str">
        <f t="shared" si="66"/>
        <v>Normal</v>
      </c>
      <c r="L887">
        <f t="shared" si="67"/>
        <v>1</v>
      </c>
      <c r="M887">
        <f t="shared" si="68"/>
        <v>1</v>
      </c>
      <c r="N887" s="6">
        <f t="shared" si="69"/>
        <v>45662</v>
      </c>
    </row>
    <row r="888" spans="1:14" x14ac:dyDescent="0.3">
      <c r="A888">
        <v>103</v>
      </c>
      <c r="B888">
        <v>10059</v>
      </c>
      <c r="C888" t="s">
        <v>126</v>
      </c>
      <c r="D888" t="s">
        <v>10</v>
      </c>
      <c r="E888" t="s">
        <v>24</v>
      </c>
      <c r="F888" t="s">
        <v>12</v>
      </c>
      <c r="G888" t="s">
        <v>31</v>
      </c>
      <c r="H888">
        <v>77613.56</v>
      </c>
      <c r="I888">
        <v>0</v>
      </c>
      <c r="J888" t="str">
        <f t="shared" si="65"/>
        <v>High</v>
      </c>
      <c r="K888" t="str">
        <f t="shared" si="66"/>
        <v>Normal</v>
      </c>
      <c r="L888">
        <f t="shared" si="67"/>
        <v>1</v>
      </c>
      <c r="M888">
        <f t="shared" si="68"/>
        <v>1</v>
      </c>
      <c r="N888" s="6">
        <f t="shared" si="69"/>
        <v>45662</v>
      </c>
    </row>
    <row r="889" spans="1:14" x14ac:dyDescent="0.3">
      <c r="A889">
        <v>104</v>
      </c>
      <c r="B889">
        <v>10040</v>
      </c>
      <c r="C889" t="s">
        <v>127</v>
      </c>
      <c r="D889" t="s">
        <v>15</v>
      </c>
      <c r="E889" t="s">
        <v>24</v>
      </c>
      <c r="F889" t="s">
        <v>17</v>
      </c>
      <c r="G889" t="s">
        <v>25</v>
      </c>
      <c r="H889">
        <v>12880.9</v>
      </c>
      <c r="I889">
        <v>0</v>
      </c>
      <c r="J889" t="str">
        <f t="shared" si="65"/>
        <v>High</v>
      </c>
      <c r="K889" t="str">
        <f t="shared" si="66"/>
        <v>Normal</v>
      </c>
      <c r="L889">
        <f t="shared" si="67"/>
        <v>1</v>
      </c>
      <c r="M889">
        <f t="shared" si="68"/>
        <v>1</v>
      </c>
      <c r="N889" s="6">
        <f t="shared" si="69"/>
        <v>45662</v>
      </c>
    </row>
    <row r="890" spans="1:14" x14ac:dyDescent="0.3">
      <c r="A890">
        <v>105</v>
      </c>
      <c r="B890">
        <v>10028</v>
      </c>
      <c r="C890" t="s">
        <v>128</v>
      </c>
      <c r="D890" t="s">
        <v>10</v>
      </c>
      <c r="E890" t="s">
        <v>16</v>
      </c>
      <c r="F890" t="s">
        <v>17</v>
      </c>
      <c r="G890" t="s">
        <v>31</v>
      </c>
      <c r="H890">
        <v>34815.96</v>
      </c>
      <c r="I890">
        <v>0</v>
      </c>
      <c r="J890" t="str">
        <f t="shared" si="65"/>
        <v>High</v>
      </c>
      <c r="K890" t="str">
        <f t="shared" si="66"/>
        <v>Normal</v>
      </c>
      <c r="L890">
        <f t="shared" si="67"/>
        <v>1</v>
      </c>
      <c r="M890">
        <f t="shared" si="68"/>
        <v>1</v>
      </c>
      <c r="N890" s="6">
        <f t="shared" si="69"/>
        <v>45662</v>
      </c>
    </row>
    <row r="891" spans="1:14" x14ac:dyDescent="0.3">
      <c r="A891">
        <v>106</v>
      </c>
      <c r="B891">
        <v>10014</v>
      </c>
      <c r="C891" t="s">
        <v>129</v>
      </c>
      <c r="D891" t="s">
        <v>23</v>
      </c>
      <c r="E891" t="s">
        <v>16</v>
      </c>
      <c r="F891" t="s">
        <v>12</v>
      </c>
      <c r="G891" t="s">
        <v>13</v>
      </c>
      <c r="H891">
        <v>43595.83</v>
      </c>
      <c r="I891">
        <v>0</v>
      </c>
      <c r="J891" t="str">
        <f t="shared" si="65"/>
        <v>High</v>
      </c>
      <c r="K891" t="str">
        <f t="shared" si="66"/>
        <v>Normal</v>
      </c>
      <c r="L891">
        <f t="shared" si="67"/>
        <v>1</v>
      </c>
      <c r="M891">
        <f t="shared" si="68"/>
        <v>1</v>
      </c>
      <c r="N891" s="6">
        <f t="shared" si="69"/>
        <v>45662</v>
      </c>
    </row>
    <row r="892" spans="1:14" x14ac:dyDescent="0.3">
      <c r="A892">
        <v>107</v>
      </c>
      <c r="B892">
        <v>10044</v>
      </c>
      <c r="C892" t="s">
        <v>130</v>
      </c>
      <c r="D892" t="s">
        <v>29</v>
      </c>
      <c r="E892" t="s">
        <v>11</v>
      </c>
      <c r="F892" t="s">
        <v>12</v>
      </c>
      <c r="G892" t="s">
        <v>18</v>
      </c>
      <c r="H892">
        <v>39656.559999999998</v>
      </c>
      <c r="I892">
        <v>0</v>
      </c>
      <c r="J892" t="str">
        <f t="shared" si="65"/>
        <v>High</v>
      </c>
      <c r="K892" t="str">
        <f t="shared" si="66"/>
        <v>Normal</v>
      </c>
      <c r="L892">
        <f t="shared" si="67"/>
        <v>1</v>
      </c>
      <c r="M892">
        <f t="shared" si="68"/>
        <v>1</v>
      </c>
      <c r="N892" s="6">
        <f t="shared" si="69"/>
        <v>45662</v>
      </c>
    </row>
    <row r="893" spans="1:14" x14ac:dyDescent="0.3">
      <c r="A893">
        <v>108</v>
      </c>
      <c r="B893">
        <v>10064</v>
      </c>
      <c r="C893" t="s">
        <v>131</v>
      </c>
      <c r="D893" t="s">
        <v>15</v>
      </c>
      <c r="E893" t="s">
        <v>11</v>
      </c>
      <c r="F893" t="s">
        <v>17</v>
      </c>
      <c r="G893" t="s">
        <v>25</v>
      </c>
      <c r="H893">
        <v>66963.929999999993</v>
      </c>
      <c r="I893">
        <v>1</v>
      </c>
      <c r="J893" t="str">
        <f t="shared" si="65"/>
        <v>High</v>
      </c>
      <c r="K893" t="str">
        <f t="shared" si="66"/>
        <v>High Risk</v>
      </c>
      <c r="L893">
        <f t="shared" si="67"/>
        <v>1</v>
      </c>
      <c r="M893">
        <f t="shared" si="68"/>
        <v>1</v>
      </c>
      <c r="N893" s="6">
        <f t="shared" si="69"/>
        <v>45662</v>
      </c>
    </row>
    <row r="894" spans="1:14" x14ac:dyDescent="0.3">
      <c r="A894">
        <v>109</v>
      </c>
      <c r="B894">
        <v>10088</v>
      </c>
      <c r="C894" t="s">
        <v>132</v>
      </c>
      <c r="D894" t="s">
        <v>15</v>
      </c>
      <c r="E894" t="s">
        <v>16</v>
      </c>
      <c r="F894" t="s">
        <v>17</v>
      </c>
      <c r="G894" t="s">
        <v>13</v>
      </c>
      <c r="H894">
        <v>89200.12</v>
      </c>
      <c r="I894">
        <v>0</v>
      </c>
      <c r="J894" t="str">
        <f t="shared" si="65"/>
        <v>High</v>
      </c>
      <c r="K894" t="str">
        <f t="shared" si="66"/>
        <v>Normal</v>
      </c>
      <c r="L894">
        <f t="shared" si="67"/>
        <v>1</v>
      </c>
      <c r="M894">
        <f t="shared" si="68"/>
        <v>1</v>
      </c>
      <c r="N894" s="6">
        <f t="shared" si="69"/>
        <v>45662</v>
      </c>
    </row>
    <row r="895" spans="1:14" x14ac:dyDescent="0.3">
      <c r="A895">
        <v>110</v>
      </c>
      <c r="B895">
        <v>10070</v>
      </c>
      <c r="C895" t="s">
        <v>133</v>
      </c>
      <c r="D895" t="s">
        <v>15</v>
      </c>
      <c r="E895" t="s">
        <v>16</v>
      </c>
      <c r="F895" t="s">
        <v>12</v>
      </c>
      <c r="G895" t="s">
        <v>21</v>
      </c>
      <c r="H895">
        <v>30674.54</v>
      </c>
      <c r="I895">
        <v>0</v>
      </c>
      <c r="J895" t="str">
        <f t="shared" si="65"/>
        <v>High</v>
      </c>
      <c r="K895" t="str">
        <f t="shared" si="66"/>
        <v>Normal</v>
      </c>
      <c r="L895">
        <f t="shared" si="67"/>
        <v>1</v>
      </c>
      <c r="M895">
        <f t="shared" si="68"/>
        <v>1</v>
      </c>
      <c r="N895" s="6">
        <f t="shared" si="69"/>
        <v>45662</v>
      </c>
    </row>
    <row r="896" spans="1:14" x14ac:dyDescent="0.3">
      <c r="A896">
        <v>111</v>
      </c>
      <c r="B896">
        <v>10008</v>
      </c>
      <c r="C896" t="s">
        <v>134</v>
      </c>
      <c r="D896" t="s">
        <v>15</v>
      </c>
      <c r="E896" t="s">
        <v>16</v>
      </c>
      <c r="F896" t="s">
        <v>17</v>
      </c>
      <c r="G896" t="s">
        <v>25</v>
      </c>
      <c r="H896">
        <v>55232.53</v>
      </c>
      <c r="I896">
        <v>0</v>
      </c>
      <c r="J896" t="str">
        <f t="shared" si="65"/>
        <v>High</v>
      </c>
      <c r="K896" t="str">
        <f t="shared" si="66"/>
        <v>Normal</v>
      </c>
      <c r="L896">
        <f t="shared" si="67"/>
        <v>1</v>
      </c>
      <c r="M896">
        <f t="shared" si="68"/>
        <v>1</v>
      </c>
      <c r="N896" s="6">
        <f t="shared" si="69"/>
        <v>45662</v>
      </c>
    </row>
    <row r="897" spans="1:14" x14ac:dyDescent="0.3">
      <c r="A897">
        <v>112</v>
      </c>
      <c r="B897">
        <v>10087</v>
      </c>
      <c r="C897" t="s">
        <v>135</v>
      </c>
      <c r="D897" t="s">
        <v>15</v>
      </c>
      <c r="E897" t="s">
        <v>16</v>
      </c>
      <c r="F897" t="s">
        <v>17</v>
      </c>
      <c r="G897" t="s">
        <v>18</v>
      </c>
      <c r="H897">
        <v>78962</v>
      </c>
      <c r="I897">
        <v>0</v>
      </c>
      <c r="J897" t="str">
        <f t="shared" si="65"/>
        <v>High</v>
      </c>
      <c r="K897" t="str">
        <f t="shared" si="66"/>
        <v>Normal</v>
      </c>
      <c r="L897">
        <f t="shared" si="67"/>
        <v>1</v>
      </c>
      <c r="M897">
        <f t="shared" si="68"/>
        <v>1</v>
      </c>
      <c r="N897" s="6">
        <f t="shared" si="69"/>
        <v>45662</v>
      </c>
    </row>
    <row r="898" spans="1:14" x14ac:dyDescent="0.3">
      <c r="A898">
        <v>113</v>
      </c>
      <c r="B898">
        <v>10000</v>
      </c>
      <c r="C898" t="s">
        <v>136</v>
      </c>
      <c r="D898" t="s">
        <v>10</v>
      </c>
      <c r="E898" t="s">
        <v>11</v>
      </c>
      <c r="F898" t="s">
        <v>17</v>
      </c>
      <c r="G898" t="s">
        <v>18</v>
      </c>
      <c r="H898">
        <v>41680.18</v>
      </c>
      <c r="I898">
        <v>0</v>
      </c>
      <c r="J898" t="str">
        <f t="shared" ref="J898:J961" si="70">IF(E898&gt;50000,"High","Normal")</f>
        <v>High</v>
      </c>
      <c r="K898" t="str">
        <f t="shared" ref="K898:K961" si="71">IF(AND(H898&gt;50000,E898="Online"),"High Risk","Normal")</f>
        <v>Normal</v>
      </c>
      <c r="L898">
        <f t="shared" ref="L898:L961" si="72">COUNTIFS(C:C,C898,B:B,B898)</f>
        <v>1</v>
      </c>
      <c r="M898">
        <f t="shared" ref="M898:M961" si="73">IF(E898&gt;50000,1,0) + IF(H898="Unusual",1,0) + IF(I898&gt;3,1,0)</f>
        <v>1</v>
      </c>
      <c r="N898" s="6">
        <f t="shared" ref="N898:N961" si="74">INT(C898)</f>
        <v>45662</v>
      </c>
    </row>
    <row r="899" spans="1:14" x14ac:dyDescent="0.3">
      <c r="A899">
        <v>114</v>
      </c>
      <c r="B899">
        <v>10007</v>
      </c>
      <c r="C899" t="s">
        <v>137</v>
      </c>
      <c r="D899" t="s">
        <v>29</v>
      </c>
      <c r="E899" t="s">
        <v>16</v>
      </c>
      <c r="F899" t="s">
        <v>17</v>
      </c>
      <c r="G899" t="s">
        <v>21</v>
      </c>
      <c r="H899">
        <v>16895</v>
      </c>
      <c r="I899">
        <v>0</v>
      </c>
      <c r="J899" t="str">
        <f t="shared" si="70"/>
        <v>High</v>
      </c>
      <c r="K899" t="str">
        <f t="shared" si="71"/>
        <v>Normal</v>
      </c>
      <c r="L899">
        <f t="shared" si="72"/>
        <v>1</v>
      </c>
      <c r="M899">
        <f t="shared" si="73"/>
        <v>1</v>
      </c>
      <c r="N899" s="6">
        <f t="shared" si="74"/>
        <v>45662</v>
      </c>
    </row>
    <row r="900" spans="1:14" x14ac:dyDescent="0.3">
      <c r="A900">
        <v>115</v>
      </c>
      <c r="B900">
        <v>10087</v>
      </c>
      <c r="C900" t="s">
        <v>138</v>
      </c>
      <c r="D900" t="s">
        <v>23</v>
      </c>
      <c r="E900" t="s">
        <v>11</v>
      </c>
      <c r="F900" t="s">
        <v>17</v>
      </c>
      <c r="G900" t="s">
        <v>21</v>
      </c>
      <c r="H900">
        <v>47547.6</v>
      </c>
      <c r="I900">
        <v>0</v>
      </c>
      <c r="J900" t="str">
        <f t="shared" si="70"/>
        <v>High</v>
      </c>
      <c r="K900" t="str">
        <f t="shared" si="71"/>
        <v>Normal</v>
      </c>
      <c r="L900">
        <f t="shared" si="72"/>
        <v>1</v>
      </c>
      <c r="M900">
        <f t="shared" si="73"/>
        <v>1</v>
      </c>
      <c r="N900" s="6">
        <f t="shared" si="74"/>
        <v>45662</v>
      </c>
    </row>
    <row r="901" spans="1:14" x14ac:dyDescent="0.3">
      <c r="A901">
        <v>116</v>
      </c>
      <c r="B901">
        <v>10062</v>
      </c>
      <c r="C901" t="s">
        <v>139</v>
      </c>
      <c r="D901" t="s">
        <v>23</v>
      </c>
      <c r="E901" t="s">
        <v>16</v>
      </c>
      <c r="F901" t="s">
        <v>17</v>
      </c>
      <c r="G901" t="s">
        <v>25</v>
      </c>
      <c r="H901">
        <v>5616.73</v>
      </c>
      <c r="I901">
        <v>0</v>
      </c>
      <c r="J901" t="str">
        <f t="shared" si="70"/>
        <v>High</v>
      </c>
      <c r="K901" t="str">
        <f t="shared" si="71"/>
        <v>Normal</v>
      </c>
      <c r="L901">
        <f t="shared" si="72"/>
        <v>1</v>
      </c>
      <c r="M901">
        <f t="shared" si="73"/>
        <v>1</v>
      </c>
      <c r="N901" s="6">
        <f t="shared" si="74"/>
        <v>45662</v>
      </c>
    </row>
    <row r="902" spans="1:14" x14ac:dyDescent="0.3">
      <c r="A902">
        <v>117</v>
      </c>
      <c r="B902">
        <v>10010</v>
      </c>
      <c r="C902" t="s">
        <v>140</v>
      </c>
      <c r="D902" t="s">
        <v>23</v>
      </c>
      <c r="E902" t="s">
        <v>16</v>
      </c>
      <c r="F902" t="s">
        <v>17</v>
      </c>
      <c r="G902" t="s">
        <v>31</v>
      </c>
      <c r="H902">
        <v>94244.11</v>
      </c>
      <c r="I902">
        <v>0</v>
      </c>
      <c r="J902" t="str">
        <f t="shared" si="70"/>
        <v>High</v>
      </c>
      <c r="K902" t="str">
        <f t="shared" si="71"/>
        <v>Normal</v>
      </c>
      <c r="L902">
        <f t="shared" si="72"/>
        <v>1</v>
      </c>
      <c r="M902">
        <f t="shared" si="73"/>
        <v>1</v>
      </c>
      <c r="N902" s="6">
        <f t="shared" si="74"/>
        <v>45662</v>
      </c>
    </row>
    <row r="903" spans="1:14" x14ac:dyDescent="0.3">
      <c r="A903">
        <v>118</v>
      </c>
      <c r="B903">
        <v>10080</v>
      </c>
      <c r="C903" t="s">
        <v>141</v>
      </c>
      <c r="D903" t="s">
        <v>23</v>
      </c>
      <c r="E903" t="s">
        <v>16</v>
      </c>
      <c r="F903" t="s">
        <v>12</v>
      </c>
      <c r="G903" t="s">
        <v>21</v>
      </c>
      <c r="H903">
        <v>7574.64</v>
      </c>
      <c r="I903">
        <v>0</v>
      </c>
      <c r="J903" t="str">
        <f t="shared" si="70"/>
        <v>High</v>
      </c>
      <c r="K903" t="str">
        <f t="shared" si="71"/>
        <v>Normal</v>
      </c>
      <c r="L903">
        <f t="shared" si="72"/>
        <v>1</v>
      </c>
      <c r="M903">
        <f t="shared" si="73"/>
        <v>1</v>
      </c>
      <c r="N903" s="6">
        <f t="shared" si="74"/>
        <v>45662</v>
      </c>
    </row>
    <row r="904" spans="1:14" x14ac:dyDescent="0.3">
      <c r="A904">
        <v>119</v>
      </c>
      <c r="B904">
        <v>10007</v>
      </c>
      <c r="C904" t="s">
        <v>142</v>
      </c>
      <c r="D904" t="s">
        <v>10</v>
      </c>
      <c r="E904" t="s">
        <v>11</v>
      </c>
      <c r="F904" t="s">
        <v>12</v>
      </c>
      <c r="G904" t="s">
        <v>31</v>
      </c>
      <c r="H904">
        <v>43901.83</v>
      </c>
      <c r="I904">
        <v>0</v>
      </c>
      <c r="J904" t="str">
        <f t="shared" si="70"/>
        <v>High</v>
      </c>
      <c r="K904" t="str">
        <f t="shared" si="71"/>
        <v>Normal</v>
      </c>
      <c r="L904">
        <f t="shared" si="72"/>
        <v>1</v>
      </c>
      <c r="M904">
        <f t="shared" si="73"/>
        <v>1</v>
      </c>
      <c r="N904" s="6">
        <f t="shared" si="74"/>
        <v>45662</v>
      </c>
    </row>
    <row r="905" spans="1:14" x14ac:dyDescent="0.3">
      <c r="A905">
        <v>120</v>
      </c>
      <c r="B905">
        <v>10034</v>
      </c>
      <c r="C905" t="s">
        <v>143</v>
      </c>
      <c r="D905" t="s">
        <v>20</v>
      </c>
      <c r="E905" t="s">
        <v>11</v>
      </c>
      <c r="F905" t="s">
        <v>12</v>
      </c>
      <c r="G905" t="s">
        <v>13</v>
      </c>
      <c r="H905">
        <v>53035.14</v>
      </c>
      <c r="I905">
        <v>1</v>
      </c>
      <c r="J905" t="str">
        <f t="shared" si="70"/>
        <v>High</v>
      </c>
      <c r="K905" t="str">
        <f t="shared" si="71"/>
        <v>High Risk</v>
      </c>
      <c r="L905">
        <f t="shared" si="72"/>
        <v>1</v>
      </c>
      <c r="M905">
        <f t="shared" si="73"/>
        <v>1</v>
      </c>
      <c r="N905" s="6">
        <f t="shared" si="74"/>
        <v>45662</v>
      </c>
    </row>
    <row r="906" spans="1:14" x14ac:dyDescent="0.3">
      <c r="A906">
        <v>73</v>
      </c>
      <c r="B906">
        <v>10001</v>
      </c>
      <c r="C906" t="s">
        <v>96</v>
      </c>
      <c r="D906" t="s">
        <v>23</v>
      </c>
      <c r="E906" t="s">
        <v>11</v>
      </c>
      <c r="F906" t="s">
        <v>12</v>
      </c>
      <c r="G906" t="s">
        <v>21</v>
      </c>
      <c r="H906">
        <v>95358.16</v>
      </c>
      <c r="I906">
        <v>1</v>
      </c>
      <c r="J906" t="str">
        <f t="shared" si="70"/>
        <v>High</v>
      </c>
      <c r="K906" t="str">
        <f t="shared" si="71"/>
        <v>High Risk</v>
      </c>
      <c r="L906">
        <f t="shared" si="72"/>
        <v>1</v>
      </c>
      <c r="M906">
        <f t="shared" si="73"/>
        <v>1</v>
      </c>
      <c r="N906" s="6">
        <f t="shared" si="74"/>
        <v>45661</v>
      </c>
    </row>
    <row r="907" spans="1:14" x14ac:dyDescent="0.3">
      <c r="A907">
        <v>74</v>
      </c>
      <c r="B907">
        <v>10005</v>
      </c>
      <c r="C907" t="s">
        <v>97</v>
      </c>
      <c r="D907" t="s">
        <v>15</v>
      </c>
      <c r="E907" t="s">
        <v>11</v>
      </c>
      <c r="F907" t="s">
        <v>12</v>
      </c>
      <c r="G907" t="s">
        <v>21</v>
      </c>
      <c r="H907">
        <v>88173.4</v>
      </c>
      <c r="I907">
        <v>1</v>
      </c>
      <c r="J907" t="str">
        <f t="shared" si="70"/>
        <v>High</v>
      </c>
      <c r="K907" t="str">
        <f t="shared" si="71"/>
        <v>High Risk</v>
      </c>
      <c r="L907">
        <f t="shared" si="72"/>
        <v>1</v>
      </c>
      <c r="M907">
        <f t="shared" si="73"/>
        <v>1</v>
      </c>
      <c r="N907" s="6">
        <f t="shared" si="74"/>
        <v>45661</v>
      </c>
    </row>
    <row r="908" spans="1:14" x14ac:dyDescent="0.3">
      <c r="A908">
        <v>75</v>
      </c>
      <c r="B908">
        <v>10053</v>
      </c>
      <c r="C908" t="s">
        <v>98</v>
      </c>
      <c r="D908" t="s">
        <v>29</v>
      </c>
      <c r="E908" t="s">
        <v>16</v>
      </c>
      <c r="F908" t="s">
        <v>17</v>
      </c>
      <c r="G908" t="s">
        <v>25</v>
      </c>
      <c r="H908">
        <v>58491.53</v>
      </c>
      <c r="I908">
        <v>0</v>
      </c>
      <c r="J908" t="str">
        <f t="shared" si="70"/>
        <v>High</v>
      </c>
      <c r="K908" t="str">
        <f t="shared" si="71"/>
        <v>Normal</v>
      </c>
      <c r="L908">
        <f t="shared" si="72"/>
        <v>1</v>
      </c>
      <c r="M908">
        <f t="shared" si="73"/>
        <v>1</v>
      </c>
      <c r="N908" s="6">
        <f t="shared" si="74"/>
        <v>45661</v>
      </c>
    </row>
    <row r="909" spans="1:14" x14ac:dyDescent="0.3">
      <c r="A909">
        <v>76</v>
      </c>
      <c r="B909">
        <v>10003</v>
      </c>
      <c r="C909" t="s">
        <v>99</v>
      </c>
      <c r="D909" t="s">
        <v>20</v>
      </c>
      <c r="E909" t="s">
        <v>24</v>
      </c>
      <c r="F909" t="s">
        <v>17</v>
      </c>
      <c r="G909" t="s">
        <v>18</v>
      </c>
      <c r="H909">
        <v>83395.820000000007</v>
      </c>
      <c r="I909">
        <v>0</v>
      </c>
      <c r="J909" t="str">
        <f t="shared" si="70"/>
        <v>High</v>
      </c>
      <c r="K909" t="str">
        <f t="shared" si="71"/>
        <v>Normal</v>
      </c>
      <c r="L909">
        <f t="shared" si="72"/>
        <v>1</v>
      </c>
      <c r="M909">
        <f t="shared" si="73"/>
        <v>1</v>
      </c>
      <c r="N909" s="6">
        <f t="shared" si="74"/>
        <v>45661</v>
      </c>
    </row>
    <row r="910" spans="1:14" x14ac:dyDescent="0.3">
      <c r="A910">
        <v>77</v>
      </c>
      <c r="B910">
        <v>10053</v>
      </c>
      <c r="C910" t="s">
        <v>100</v>
      </c>
      <c r="D910" t="s">
        <v>20</v>
      </c>
      <c r="E910" t="s">
        <v>24</v>
      </c>
      <c r="F910" t="s">
        <v>12</v>
      </c>
      <c r="G910" t="s">
        <v>31</v>
      </c>
      <c r="H910">
        <v>64293.5</v>
      </c>
      <c r="I910">
        <v>0</v>
      </c>
      <c r="J910" t="str">
        <f t="shared" si="70"/>
        <v>High</v>
      </c>
      <c r="K910" t="str">
        <f t="shared" si="71"/>
        <v>Normal</v>
      </c>
      <c r="L910">
        <f t="shared" si="72"/>
        <v>1</v>
      </c>
      <c r="M910">
        <f t="shared" si="73"/>
        <v>1</v>
      </c>
      <c r="N910" s="6">
        <f t="shared" si="74"/>
        <v>45661</v>
      </c>
    </row>
    <row r="911" spans="1:14" x14ac:dyDescent="0.3">
      <c r="A911">
        <v>78</v>
      </c>
      <c r="B911">
        <v>10092</v>
      </c>
      <c r="C911" t="s">
        <v>101</v>
      </c>
      <c r="D911" t="s">
        <v>10</v>
      </c>
      <c r="E911" t="s">
        <v>16</v>
      </c>
      <c r="F911" t="s">
        <v>17</v>
      </c>
      <c r="G911" t="s">
        <v>18</v>
      </c>
      <c r="H911">
        <v>7947.93</v>
      </c>
      <c r="I911">
        <v>0</v>
      </c>
      <c r="J911" t="str">
        <f t="shared" si="70"/>
        <v>High</v>
      </c>
      <c r="K911" t="str">
        <f t="shared" si="71"/>
        <v>Normal</v>
      </c>
      <c r="L911">
        <f t="shared" si="72"/>
        <v>1</v>
      </c>
      <c r="M911">
        <f t="shared" si="73"/>
        <v>1</v>
      </c>
      <c r="N911" s="6">
        <f t="shared" si="74"/>
        <v>45661</v>
      </c>
    </row>
    <row r="912" spans="1:14" x14ac:dyDescent="0.3">
      <c r="A912">
        <v>79</v>
      </c>
      <c r="B912">
        <v>10062</v>
      </c>
      <c r="C912" t="s">
        <v>102</v>
      </c>
      <c r="D912" t="s">
        <v>29</v>
      </c>
      <c r="E912" t="s">
        <v>16</v>
      </c>
      <c r="F912" t="s">
        <v>12</v>
      </c>
      <c r="G912" t="s">
        <v>25</v>
      </c>
      <c r="H912">
        <v>74082.42</v>
      </c>
      <c r="I912">
        <v>0</v>
      </c>
      <c r="J912" t="str">
        <f t="shared" si="70"/>
        <v>High</v>
      </c>
      <c r="K912" t="str">
        <f t="shared" si="71"/>
        <v>Normal</v>
      </c>
      <c r="L912">
        <f t="shared" si="72"/>
        <v>1</v>
      </c>
      <c r="M912">
        <f t="shared" si="73"/>
        <v>1</v>
      </c>
      <c r="N912" s="6">
        <f t="shared" si="74"/>
        <v>45661</v>
      </c>
    </row>
    <row r="913" spans="1:14" x14ac:dyDescent="0.3">
      <c r="A913">
        <v>80</v>
      </c>
      <c r="B913">
        <v>10017</v>
      </c>
      <c r="C913" t="s">
        <v>103</v>
      </c>
      <c r="D913" t="s">
        <v>23</v>
      </c>
      <c r="E913" t="s">
        <v>24</v>
      </c>
      <c r="F913" t="s">
        <v>17</v>
      </c>
      <c r="G913" t="s">
        <v>18</v>
      </c>
      <c r="H913">
        <v>9581.35</v>
      </c>
      <c r="I913">
        <v>0</v>
      </c>
      <c r="J913" t="str">
        <f t="shared" si="70"/>
        <v>High</v>
      </c>
      <c r="K913" t="str">
        <f t="shared" si="71"/>
        <v>Normal</v>
      </c>
      <c r="L913">
        <f t="shared" si="72"/>
        <v>1</v>
      </c>
      <c r="M913">
        <f t="shared" si="73"/>
        <v>1</v>
      </c>
      <c r="N913" s="6">
        <f t="shared" si="74"/>
        <v>45661</v>
      </c>
    </row>
    <row r="914" spans="1:14" x14ac:dyDescent="0.3">
      <c r="A914">
        <v>81</v>
      </c>
      <c r="B914">
        <v>10089</v>
      </c>
      <c r="C914" t="s">
        <v>104</v>
      </c>
      <c r="D914" t="s">
        <v>15</v>
      </c>
      <c r="E914" t="s">
        <v>24</v>
      </c>
      <c r="F914" t="s">
        <v>17</v>
      </c>
      <c r="G914" t="s">
        <v>18</v>
      </c>
      <c r="H914">
        <v>59448.87</v>
      </c>
      <c r="I914">
        <v>0</v>
      </c>
      <c r="J914" t="str">
        <f t="shared" si="70"/>
        <v>High</v>
      </c>
      <c r="K914" t="str">
        <f t="shared" si="71"/>
        <v>Normal</v>
      </c>
      <c r="L914">
        <f t="shared" si="72"/>
        <v>1</v>
      </c>
      <c r="M914">
        <f t="shared" si="73"/>
        <v>1</v>
      </c>
      <c r="N914" s="6">
        <f t="shared" si="74"/>
        <v>45661</v>
      </c>
    </row>
    <row r="915" spans="1:14" x14ac:dyDescent="0.3">
      <c r="A915">
        <v>82</v>
      </c>
      <c r="B915">
        <v>10043</v>
      </c>
      <c r="C915" t="s">
        <v>105</v>
      </c>
      <c r="D915" t="s">
        <v>10</v>
      </c>
      <c r="E915" t="s">
        <v>24</v>
      </c>
      <c r="F915" t="s">
        <v>17</v>
      </c>
      <c r="G915" t="s">
        <v>25</v>
      </c>
      <c r="H915">
        <v>70293.759999999995</v>
      </c>
      <c r="I915">
        <v>0</v>
      </c>
      <c r="J915" t="str">
        <f t="shared" si="70"/>
        <v>High</v>
      </c>
      <c r="K915" t="str">
        <f t="shared" si="71"/>
        <v>Normal</v>
      </c>
      <c r="L915">
        <f t="shared" si="72"/>
        <v>1</v>
      </c>
      <c r="M915">
        <f t="shared" si="73"/>
        <v>1</v>
      </c>
      <c r="N915" s="6">
        <f t="shared" si="74"/>
        <v>45661</v>
      </c>
    </row>
    <row r="916" spans="1:14" x14ac:dyDescent="0.3">
      <c r="A916">
        <v>83</v>
      </c>
      <c r="B916">
        <v>10033</v>
      </c>
      <c r="C916" t="s">
        <v>106</v>
      </c>
      <c r="D916" t="s">
        <v>20</v>
      </c>
      <c r="E916" t="s">
        <v>24</v>
      </c>
      <c r="F916" t="s">
        <v>17</v>
      </c>
      <c r="G916" t="s">
        <v>21</v>
      </c>
      <c r="H916">
        <v>6746.11</v>
      </c>
      <c r="I916">
        <v>0</v>
      </c>
      <c r="J916" t="str">
        <f t="shared" si="70"/>
        <v>High</v>
      </c>
      <c r="K916" t="str">
        <f t="shared" si="71"/>
        <v>Normal</v>
      </c>
      <c r="L916">
        <f t="shared" si="72"/>
        <v>1</v>
      </c>
      <c r="M916">
        <f t="shared" si="73"/>
        <v>1</v>
      </c>
      <c r="N916" s="6">
        <f t="shared" si="74"/>
        <v>45661</v>
      </c>
    </row>
    <row r="917" spans="1:14" x14ac:dyDescent="0.3">
      <c r="A917">
        <v>84</v>
      </c>
      <c r="B917">
        <v>10073</v>
      </c>
      <c r="C917" t="s">
        <v>107</v>
      </c>
      <c r="D917" t="s">
        <v>23</v>
      </c>
      <c r="E917" t="s">
        <v>24</v>
      </c>
      <c r="F917" t="s">
        <v>12</v>
      </c>
      <c r="G917" t="s">
        <v>31</v>
      </c>
      <c r="H917">
        <v>23156.39</v>
      </c>
      <c r="I917">
        <v>0</v>
      </c>
      <c r="J917" t="str">
        <f t="shared" si="70"/>
        <v>High</v>
      </c>
      <c r="K917" t="str">
        <f t="shared" si="71"/>
        <v>Normal</v>
      </c>
      <c r="L917">
        <f t="shared" si="72"/>
        <v>1</v>
      </c>
      <c r="M917">
        <f t="shared" si="73"/>
        <v>1</v>
      </c>
      <c r="N917" s="6">
        <f t="shared" si="74"/>
        <v>45661</v>
      </c>
    </row>
    <row r="918" spans="1:14" x14ac:dyDescent="0.3">
      <c r="A918">
        <v>85</v>
      </c>
      <c r="B918">
        <v>10061</v>
      </c>
      <c r="C918" t="s">
        <v>108</v>
      </c>
      <c r="D918" t="s">
        <v>23</v>
      </c>
      <c r="E918" t="s">
        <v>11</v>
      </c>
      <c r="F918" t="s">
        <v>17</v>
      </c>
      <c r="G918" t="s">
        <v>25</v>
      </c>
      <c r="H918">
        <v>91575.66</v>
      </c>
      <c r="I918">
        <v>1</v>
      </c>
      <c r="J918" t="str">
        <f t="shared" si="70"/>
        <v>High</v>
      </c>
      <c r="K918" t="str">
        <f t="shared" si="71"/>
        <v>High Risk</v>
      </c>
      <c r="L918">
        <f t="shared" si="72"/>
        <v>1</v>
      </c>
      <c r="M918">
        <f t="shared" si="73"/>
        <v>1</v>
      </c>
      <c r="N918" s="6">
        <f t="shared" si="74"/>
        <v>45661</v>
      </c>
    </row>
    <row r="919" spans="1:14" x14ac:dyDescent="0.3">
      <c r="A919">
        <v>86</v>
      </c>
      <c r="B919">
        <v>10099</v>
      </c>
      <c r="C919" t="s">
        <v>109</v>
      </c>
      <c r="D919" t="s">
        <v>15</v>
      </c>
      <c r="E919" t="s">
        <v>16</v>
      </c>
      <c r="F919" t="s">
        <v>12</v>
      </c>
      <c r="G919" t="s">
        <v>13</v>
      </c>
      <c r="H919">
        <v>61669.82</v>
      </c>
      <c r="I919">
        <v>0</v>
      </c>
      <c r="J919" t="str">
        <f t="shared" si="70"/>
        <v>High</v>
      </c>
      <c r="K919" t="str">
        <f t="shared" si="71"/>
        <v>Normal</v>
      </c>
      <c r="L919">
        <f t="shared" si="72"/>
        <v>1</v>
      </c>
      <c r="M919">
        <f t="shared" si="73"/>
        <v>1</v>
      </c>
      <c r="N919" s="6">
        <f t="shared" si="74"/>
        <v>45661</v>
      </c>
    </row>
    <row r="920" spans="1:14" x14ac:dyDescent="0.3">
      <c r="A920">
        <v>87</v>
      </c>
      <c r="B920">
        <v>10013</v>
      </c>
      <c r="C920" t="s">
        <v>110</v>
      </c>
      <c r="D920" t="s">
        <v>20</v>
      </c>
      <c r="E920" t="s">
        <v>11</v>
      </c>
      <c r="F920" t="s">
        <v>12</v>
      </c>
      <c r="G920" t="s">
        <v>21</v>
      </c>
      <c r="H920">
        <v>24703.97</v>
      </c>
      <c r="I920">
        <v>0</v>
      </c>
      <c r="J920" t="str">
        <f t="shared" si="70"/>
        <v>High</v>
      </c>
      <c r="K920" t="str">
        <f t="shared" si="71"/>
        <v>Normal</v>
      </c>
      <c r="L920">
        <f t="shared" si="72"/>
        <v>1</v>
      </c>
      <c r="M920">
        <f t="shared" si="73"/>
        <v>1</v>
      </c>
      <c r="N920" s="6">
        <f t="shared" si="74"/>
        <v>45661</v>
      </c>
    </row>
    <row r="921" spans="1:14" x14ac:dyDescent="0.3">
      <c r="A921">
        <v>88</v>
      </c>
      <c r="B921">
        <v>10094</v>
      </c>
      <c r="C921" t="s">
        <v>111</v>
      </c>
      <c r="D921" t="s">
        <v>29</v>
      </c>
      <c r="E921" t="s">
        <v>24</v>
      </c>
      <c r="F921" t="s">
        <v>12</v>
      </c>
      <c r="G921" t="s">
        <v>13</v>
      </c>
      <c r="H921">
        <v>69098.91</v>
      </c>
      <c r="I921">
        <v>0</v>
      </c>
      <c r="J921" t="str">
        <f t="shared" si="70"/>
        <v>High</v>
      </c>
      <c r="K921" t="str">
        <f t="shared" si="71"/>
        <v>Normal</v>
      </c>
      <c r="L921">
        <f t="shared" si="72"/>
        <v>1</v>
      </c>
      <c r="M921">
        <f t="shared" si="73"/>
        <v>1</v>
      </c>
      <c r="N921" s="6">
        <f t="shared" si="74"/>
        <v>45661</v>
      </c>
    </row>
    <row r="922" spans="1:14" x14ac:dyDescent="0.3">
      <c r="A922">
        <v>89</v>
      </c>
      <c r="B922">
        <v>10047</v>
      </c>
      <c r="C922" t="s">
        <v>112</v>
      </c>
      <c r="D922" t="s">
        <v>23</v>
      </c>
      <c r="E922" t="s">
        <v>24</v>
      </c>
      <c r="F922" t="s">
        <v>17</v>
      </c>
      <c r="G922" t="s">
        <v>21</v>
      </c>
      <c r="H922">
        <v>59717.96</v>
      </c>
      <c r="I922">
        <v>0</v>
      </c>
      <c r="J922" t="str">
        <f t="shared" si="70"/>
        <v>High</v>
      </c>
      <c r="K922" t="str">
        <f t="shared" si="71"/>
        <v>Normal</v>
      </c>
      <c r="L922">
        <f t="shared" si="72"/>
        <v>1</v>
      </c>
      <c r="M922">
        <f t="shared" si="73"/>
        <v>1</v>
      </c>
      <c r="N922" s="6">
        <f t="shared" si="74"/>
        <v>45661</v>
      </c>
    </row>
    <row r="923" spans="1:14" x14ac:dyDescent="0.3">
      <c r="A923">
        <v>90</v>
      </c>
      <c r="B923">
        <v>10014</v>
      </c>
      <c r="C923" t="s">
        <v>113</v>
      </c>
      <c r="D923" t="s">
        <v>15</v>
      </c>
      <c r="E923" t="s">
        <v>24</v>
      </c>
      <c r="F923" t="s">
        <v>12</v>
      </c>
      <c r="G923" t="s">
        <v>31</v>
      </c>
      <c r="H923">
        <v>50207.41</v>
      </c>
      <c r="I923">
        <v>0</v>
      </c>
      <c r="J923" t="str">
        <f t="shared" si="70"/>
        <v>High</v>
      </c>
      <c r="K923" t="str">
        <f t="shared" si="71"/>
        <v>Normal</v>
      </c>
      <c r="L923">
        <f t="shared" si="72"/>
        <v>1</v>
      </c>
      <c r="M923">
        <f t="shared" si="73"/>
        <v>1</v>
      </c>
      <c r="N923" s="6">
        <f t="shared" si="74"/>
        <v>45661</v>
      </c>
    </row>
    <row r="924" spans="1:14" x14ac:dyDescent="0.3">
      <c r="A924">
        <v>91</v>
      </c>
      <c r="B924">
        <v>10071</v>
      </c>
      <c r="C924" t="s">
        <v>114</v>
      </c>
      <c r="D924" t="s">
        <v>29</v>
      </c>
      <c r="E924" t="s">
        <v>11</v>
      </c>
      <c r="F924" t="s">
        <v>12</v>
      </c>
      <c r="G924" t="s">
        <v>31</v>
      </c>
      <c r="H924">
        <v>97621.08</v>
      </c>
      <c r="I924">
        <v>1</v>
      </c>
      <c r="J924" t="str">
        <f t="shared" si="70"/>
        <v>High</v>
      </c>
      <c r="K924" t="str">
        <f t="shared" si="71"/>
        <v>High Risk</v>
      </c>
      <c r="L924">
        <f t="shared" si="72"/>
        <v>1</v>
      </c>
      <c r="M924">
        <f t="shared" si="73"/>
        <v>1</v>
      </c>
      <c r="N924" s="6">
        <f t="shared" si="74"/>
        <v>45661</v>
      </c>
    </row>
    <row r="925" spans="1:14" x14ac:dyDescent="0.3">
      <c r="A925">
        <v>92</v>
      </c>
      <c r="B925">
        <v>10077</v>
      </c>
      <c r="C925" t="s">
        <v>115</v>
      </c>
      <c r="D925" t="s">
        <v>20</v>
      </c>
      <c r="E925" t="s">
        <v>11</v>
      </c>
      <c r="F925" t="s">
        <v>12</v>
      </c>
      <c r="G925" t="s">
        <v>18</v>
      </c>
      <c r="H925">
        <v>68377.03</v>
      </c>
      <c r="I925">
        <v>1</v>
      </c>
      <c r="J925" t="str">
        <f t="shared" si="70"/>
        <v>High</v>
      </c>
      <c r="K925" t="str">
        <f t="shared" si="71"/>
        <v>High Risk</v>
      </c>
      <c r="L925">
        <f t="shared" si="72"/>
        <v>1</v>
      </c>
      <c r="M925">
        <f t="shared" si="73"/>
        <v>1</v>
      </c>
      <c r="N925" s="6">
        <f t="shared" si="74"/>
        <v>45661</v>
      </c>
    </row>
    <row r="926" spans="1:14" x14ac:dyDescent="0.3">
      <c r="A926">
        <v>93</v>
      </c>
      <c r="B926">
        <v>10086</v>
      </c>
      <c r="C926" t="s">
        <v>116</v>
      </c>
      <c r="D926" t="s">
        <v>23</v>
      </c>
      <c r="E926" t="s">
        <v>24</v>
      </c>
      <c r="F926" t="s">
        <v>17</v>
      </c>
      <c r="G926" t="s">
        <v>13</v>
      </c>
      <c r="H926">
        <v>37606.57</v>
      </c>
      <c r="I926">
        <v>0</v>
      </c>
      <c r="J926" t="str">
        <f t="shared" si="70"/>
        <v>High</v>
      </c>
      <c r="K926" t="str">
        <f t="shared" si="71"/>
        <v>Normal</v>
      </c>
      <c r="L926">
        <f t="shared" si="72"/>
        <v>1</v>
      </c>
      <c r="M926">
        <f t="shared" si="73"/>
        <v>1</v>
      </c>
      <c r="N926" s="6">
        <f t="shared" si="74"/>
        <v>45661</v>
      </c>
    </row>
    <row r="927" spans="1:14" x14ac:dyDescent="0.3">
      <c r="A927">
        <v>94</v>
      </c>
      <c r="B927">
        <v>10061</v>
      </c>
      <c r="C927" t="s">
        <v>117</v>
      </c>
      <c r="D927" t="s">
        <v>29</v>
      </c>
      <c r="E927" t="s">
        <v>11</v>
      </c>
      <c r="F927" t="s">
        <v>17</v>
      </c>
      <c r="G927" t="s">
        <v>21</v>
      </c>
      <c r="H927">
        <v>80027.34</v>
      </c>
      <c r="I927">
        <v>1</v>
      </c>
      <c r="J927" t="str">
        <f t="shared" si="70"/>
        <v>High</v>
      </c>
      <c r="K927" t="str">
        <f t="shared" si="71"/>
        <v>High Risk</v>
      </c>
      <c r="L927">
        <f t="shared" si="72"/>
        <v>1</v>
      </c>
      <c r="M927">
        <f t="shared" si="73"/>
        <v>1</v>
      </c>
      <c r="N927" s="6">
        <f t="shared" si="74"/>
        <v>45661</v>
      </c>
    </row>
    <row r="928" spans="1:14" x14ac:dyDescent="0.3">
      <c r="A928">
        <v>95</v>
      </c>
      <c r="B928">
        <v>10039</v>
      </c>
      <c r="C928" t="s">
        <v>118</v>
      </c>
      <c r="D928" t="s">
        <v>29</v>
      </c>
      <c r="E928" t="s">
        <v>11</v>
      </c>
      <c r="F928" t="s">
        <v>12</v>
      </c>
      <c r="G928" t="s">
        <v>31</v>
      </c>
      <c r="H928">
        <v>88469.87</v>
      </c>
      <c r="I928">
        <v>1</v>
      </c>
      <c r="J928" t="str">
        <f t="shared" si="70"/>
        <v>High</v>
      </c>
      <c r="K928" t="str">
        <f t="shared" si="71"/>
        <v>High Risk</v>
      </c>
      <c r="L928">
        <f t="shared" si="72"/>
        <v>1</v>
      </c>
      <c r="M928">
        <f t="shared" si="73"/>
        <v>1</v>
      </c>
      <c r="N928" s="6">
        <f t="shared" si="74"/>
        <v>45661</v>
      </c>
    </row>
    <row r="929" spans="1:14" x14ac:dyDescent="0.3">
      <c r="A929">
        <v>96</v>
      </c>
      <c r="B929">
        <v>10084</v>
      </c>
      <c r="C929" t="s">
        <v>119</v>
      </c>
      <c r="D929" t="s">
        <v>29</v>
      </c>
      <c r="E929" t="s">
        <v>24</v>
      </c>
      <c r="F929" t="s">
        <v>17</v>
      </c>
      <c r="G929" t="s">
        <v>25</v>
      </c>
      <c r="H929">
        <v>12609.53</v>
      </c>
      <c r="I929">
        <v>0</v>
      </c>
      <c r="J929" t="str">
        <f t="shared" si="70"/>
        <v>High</v>
      </c>
      <c r="K929" t="str">
        <f t="shared" si="71"/>
        <v>Normal</v>
      </c>
      <c r="L929">
        <f t="shared" si="72"/>
        <v>1</v>
      </c>
      <c r="M929">
        <f t="shared" si="73"/>
        <v>1</v>
      </c>
      <c r="N929" s="6">
        <f t="shared" si="74"/>
        <v>45661</v>
      </c>
    </row>
    <row r="930" spans="1:14" x14ac:dyDescent="0.3">
      <c r="A930">
        <v>49</v>
      </c>
      <c r="B930">
        <v>10072</v>
      </c>
      <c r="C930" t="s">
        <v>72</v>
      </c>
      <c r="D930" t="s">
        <v>15</v>
      </c>
      <c r="E930" t="s">
        <v>24</v>
      </c>
      <c r="F930" t="s">
        <v>12</v>
      </c>
      <c r="G930" t="s">
        <v>21</v>
      </c>
      <c r="H930">
        <v>92512.21</v>
      </c>
      <c r="I930">
        <v>0</v>
      </c>
      <c r="J930" t="str">
        <f t="shared" si="70"/>
        <v>High</v>
      </c>
      <c r="K930" t="str">
        <f t="shared" si="71"/>
        <v>Normal</v>
      </c>
      <c r="L930">
        <f t="shared" si="72"/>
        <v>1</v>
      </c>
      <c r="M930">
        <f t="shared" si="73"/>
        <v>1</v>
      </c>
      <c r="N930" s="6">
        <f t="shared" si="74"/>
        <v>45660</v>
      </c>
    </row>
    <row r="931" spans="1:14" x14ac:dyDescent="0.3">
      <c r="A931">
        <v>50</v>
      </c>
      <c r="B931">
        <v>10038</v>
      </c>
      <c r="C931" t="s">
        <v>73</v>
      </c>
      <c r="D931" t="s">
        <v>10</v>
      </c>
      <c r="E931" t="s">
        <v>24</v>
      </c>
      <c r="F931" t="s">
        <v>12</v>
      </c>
      <c r="G931" t="s">
        <v>13</v>
      </c>
      <c r="H931">
        <v>63201.19</v>
      </c>
      <c r="I931">
        <v>0</v>
      </c>
      <c r="J931" t="str">
        <f t="shared" si="70"/>
        <v>High</v>
      </c>
      <c r="K931" t="str">
        <f t="shared" si="71"/>
        <v>Normal</v>
      </c>
      <c r="L931">
        <f t="shared" si="72"/>
        <v>1</v>
      </c>
      <c r="M931">
        <f t="shared" si="73"/>
        <v>1</v>
      </c>
      <c r="N931" s="6">
        <f t="shared" si="74"/>
        <v>45660</v>
      </c>
    </row>
    <row r="932" spans="1:14" x14ac:dyDescent="0.3">
      <c r="A932">
        <v>51</v>
      </c>
      <c r="B932">
        <v>10017</v>
      </c>
      <c r="C932" t="s">
        <v>74</v>
      </c>
      <c r="D932" t="s">
        <v>29</v>
      </c>
      <c r="E932" t="s">
        <v>11</v>
      </c>
      <c r="F932" t="s">
        <v>12</v>
      </c>
      <c r="G932" t="s">
        <v>21</v>
      </c>
      <c r="H932">
        <v>5533.64</v>
      </c>
      <c r="I932">
        <v>0</v>
      </c>
      <c r="J932" t="str">
        <f t="shared" si="70"/>
        <v>High</v>
      </c>
      <c r="K932" t="str">
        <f t="shared" si="71"/>
        <v>Normal</v>
      </c>
      <c r="L932">
        <f t="shared" si="72"/>
        <v>1</v>
      </c>
      <c r="M932">
        <f t="shared" si="73"/>
        <v>1</v>
      </c>
      <c r="N932" s="6">
        <f t="shared" si="74"/>
        <v>45660</v>
      </c>
    </row>
    <row r="933" spans="1:14" x14ac:dyDescent="0.3">
      <c r="A933">
        <v>52</v>
      </c>
      <c r="B933">
        <v>10003</v>
      </c>
      <c r="C933" t="s">
        <v>75</v>
      </c>
      <c r="D933" t="s">
        <v>23</v>
      </c>
      <c r="E933" t="s">
        <v>11</v>
      </c>
      <c r="F933" t="s">
        <v>12</v>
      </c>
      <c r="G933" t="s">
        <v>31</v>
      </c>
      <c r="H933">
        <v>64461.25</v>
      </c>
      <c r="I933">
        <v>1</v>
      </c>
      <c r="J933" t="str">
        <f t="shared" si="70"/>
        <v>High</v>
      </c>
      <c r="K933" t="str">
        <f t="shared" si="71"/>
        <v>High Risk</v>
      </c>
      <c r="L933">
        <f t="shared" si="72"/>
        <v>1</v>
      </c>
      <c r="M933">
        <f t="shared" si="73"/>
        <v>1</v>
      </c>
      <c r="N933" s="6">
        <f t="shared" si="74"/>
        <v>45660</v>
      </c>
    </row>
    <row r="934" spans="1:14" x14ac:dyDescent="0.3">
      <c r="A934">
        <v>53</v>
      </c>
      <c r="B934">
        <v>10088</v>
      </c>
      <c r="C934" t="s">
        <v>76</v>
      </c>
      <c r="D934" t="s">
        <v>20</v>
      </c>
      <c r="E934" t="s">
        <v>16</v>
      </c>
      <c r="F934" t="s">
        <v>12</v>
      </c>
      <c r="G934" t="s">
        <v>18</v>
      </c>
      <c r="H934">
        <v>97427.34</v>
      </c>
      <c r="I934">
        <v>0</v>
      </c>
      <c r="J934" t="str">
        <f t="shared" si="70"/>
        <v>High</v>
      </c>
      <c r="K934" t="str">
        <f t="shared" si="71"/>
        <v>Normal</v>
      </c>
      <c r="L934">
        <f t="shared" si="72"/>
        <v>1</v>
      </c>
      <c r="M934">
        <f t="shared" si="73"/>
        <v>1</v>
      </c>
      <c r="N934" s="6">
        <f t="shared" si="74"/>
        <v>45660</v>
      </c>
    </row>
    <row r="935" spans="1:14" x14ac:dyDescent="0.3">
      <c r="A935">
        <v>54</v>
      </c>
      <c r="B935">
        <v>10059</v>
      </c>
      <c r="C935" t="s">
        <v>77</v>
      </c>
      <c r="D935" t="s">
        <v>29</v>
      </c>
      <c r="E935" t="s">
        <v>16</v>
      </c>
      <c r="F935" t="s">
        <v>17</v>
      </c>
      <c r="G935" t="s">
        <v>18</v>
      </c>
      <c r="H935">
        <v>7073.09</v>
      </c>
      <c r="I935">
        <v>0</v>
      </c>
      <c r="J935" t="str">
        <f t="shared" si="70"/>
        <v>High</v>
      </c>
      <c r="K935" t="str">
        <f t="shared" si="71"/>
        <v>Normal</v>
      </c>
      <c r="L935">
        <f t="shared" si="72"/>
        <v>1</v>
      </c>
      <c r="M935">
        <f t="shared" si="73"/>
        <v>1</v>
      </c>
      <c r="N935" s="6">
        <f t="shared" si="74"/>
        <v>45660</v>
      </c>
    </row>
    <row r="936" spans="1:14" x14ac:dyDescent="0.3">
      <c r="A936">
        <v>55</v>
      </c>
      <c r="B936">
        <v>10013</v>
      </c>
      <c r="C936" t="s">
        <v>78</v>
      </c>
      <c r="D936" t="s">
        <v>23</v>
      </c>
      <c r="E936" t="s">
        <v>11</v>
      </c>
      <c r="F936" t="s">
        <v>12</v>
      </c>
      <c r="G936" t="s">
        <v>18</v>
      </c>
      <c r="H936">
        <v>55513.3</v>
      </c>
      <c r="I936">
        <v>1</v>
      </c>
      <c r="J936" t="str">
        <f t="shared" si="70"/>
        <v>High</v>
      </c>
      <c r="K936" t="str">
        <f t="shared" si="71"/>
        <v>High Risk</v>
      </c>
      <c r="L936">
        <f t="shared" si="72"/>
        <v>1</v>
      </c>
      <c r="M936">
        <f t="shared" si="73"/>
        <v>1</v>
      </c>
      <c r="N936" s="6">
        <f t="shared" si="74"/>
        <v>45660</v>
      </c>
    </row>
    <row r="937" spans="1:14" x14ac:dyDescent="0.3">
      <c r="A937">
        <v>56</v>
      </c>
      <c r="B937">
        <v>10008</v>
      </c>
      <c r="C937" t="s">
        <v>79</v>
      </c>
      <c r="D937" t="s">
        <v>23</v>
      </c>
      <c r="E937" t="s">
        <v>16</v>
      </c>
      <c r="F937" t="s">
        <v>12</v>
      </c>
      <c r="G937" t="s">
        <v>25</v>
      </c>
      <c r="H937">
        <v>74804.66</v>
      </c>
      <c r="I937">
        <v>0</v>
      </c>
      <c r="J937" t="str">
        <f t="shared" si="70"/>
        <v>High</v>
      </c>
      <c r="K937" t="str">
        <f t="shared" si="71"/>
        <v>Normal</v>
      </c>
      <c r="L937">
        <f t="shared" si="72"/>
        <v>1</v>
      </c>
      <c r="M937">
        <f t="shared" si="73"/>
        <v>1</v>
      </c>
      <c r="N937" s="6">
        <f t="shared" si="74"/>
        <v>45660</v>
      </c>
    </row>
    <row r="938" spans="1:14" x14ac:dyDescent="0.3">
      <c r="A938">
        <v>57</v>
      </c>
      <c r="B938">
        <v>10089</v>
      </c>
      <c r="C938" t="s">
        <v>80</v>
      </c>
      <c r="D938" t="s">
        <v>15</v>
      </c>
      <c r="E938" t="s">
        <v>11</v>
      </c>
      <c r="F938" t="s">
        <v>12</v>
      </c>
      <c r="G938" t="s">
        <v>21</v>
      </c>
      <c r="H938">
        <v>81044.83</v>
      </c>
      <c r="I938">
        <v>1</v>
      </c>
      <c r="J938" t="str">
        <f t="shared" si="70"/>
        <v>High</v>
      </c>
      <c r="K938" t="str">
        <f t="shared" si="71"/>
        <v>High Risk</v>
      </c>
      <c r="L938">
        <f t="shared" si="72"/>
        <v>1</v>
      </c>
      <c r="M938">
        <f t="shared" si="73"/>
        <v>1</v>
      </c>
      <c r="N938" s="6">
        <f t="shared" si="74"/>
        <v>45660</v>
      </c>
    </row>
    <row r="939" spans="1:14" x14ac:dyDescent="0.3">
      <c r="A939">
        <v>58</v>
      </c>
      <c r="B939">
        <v>10052</v>
      </c>
      <c r="C939" t="s">
        <v>81</v>
      </c>
      <c r="D939" t="s">
        <v>10</v>
      </c>
      <c r="E939" t="s">
        <v>24</v>
      </c>
      <c r="F939" t="s">
        <v>12</v>
      </c>
      <c r="G939" t="s">
        <v>31</v>
      </c>
      <c r="H939">
        <v>41441.360000000001</v>
      </c>
      <c r="I939">
        <v>0</v>
      </c>
      <c r="J939" t="str">
        <f t="shared" si="70"/>
        <v>High</v>
      </c>
      <c r="K939" t="str">
        <f t="shared" si="71"/>
        <v>Normal</v>
      </c>
      <c r="L939">
        <f t="shared" si="72"/>
        <v>1</v>
      </c>
      <c r="M939">
        <f t="shared" si="73"/>
        <v>1</v>
      </c>
      <c r="N939" s="6">
        <f t="shared" si="74"/>
        <v>45660</v>
      </c>
    </row>
    <row r="940" spans="1:14" x14ac:dyDescent="0.3">
      <c r="A940">
        <v>59</v>
      </c>
      <c r="B940">
        <v>10001</v>
      </c>
      <c r="C940" t="s">
        <v>82</v>
      </c>
      <c r="D940" t="s">
        <v>10</v>
      </c>
      <c r="E940" t="s">
        <v>24</v>
      </c>
      <c r="F940" t="s">
        <v>17</v>
      </c>
      <c r="G940" t="s">
        <v>25</v>
      </c>
      <c r="H940">
        <v>20496.240000000002</v>
      </c>
      <c r="I940">
        <v>0</v>
      </c>
      <c r="J940" t="str">
        <f t="shared" si="70"/>
        <v>High</v>
      </c>
      <c r="K940" t="str">
        <f t="shared" si="71"/>
        <v>Normal</v>
      </c>
      <c r="L940">
        <f t="shared" si="72"/>
        <v>1</v>
      </c>
      <c r="M940">
        <f t="shared" si="73"/>
        <v>1</v>
      </c>
      <c r="N940" s="6">
        <f t="shared" si="74"/>
        <v>45660</v>
      </c>
    </row>
    <row r="941" spans="1:14" x14ac:dyDescent="0.3">
      <c r="A941">
        <v>60</v>
      </c>
      <c r="B941">
        <v>10083</v>
      </c>
      <c r="C941" t="s">
        <v>83</v>
      </c>
      <c r="D941" t="s">
        <v>29</v>
      </c>
      <c r="E941" t="s">
        <v>16</v>
      </c>
      <c r="F941" t="s">
        <v>17</v>
      </c>
      <c r="G941" t="s">
        <v>13</v>
      </c>
      <c r="H941">
        <v>4329.99</v>
      </c>
      <c r="I941">
        <v>0</v>
      </c>
      <c r="J941" t="str">
        <f t="shared" si="70"/>
        <v>High</v>
      </c>
      <c r="K941" t="str">
        <f t="shared" si="71"/>
        <v>Normal</v>
      </c>
      <c r="L941">
        <f t="shared" si="72"/>
        <v>1</v>
      </c>
      <c r="M941">
        <f t="shared" si="73"/>
        <v>1</v>
      </c>
      <c r="N941" s="6">
        <f t="shared" si="74"/>
        <v>45660</v>
      </c>
    </row>
    <row r="942" spans="1:14" x14ac:dyDescent="0.3">
      <c r="A942">
        <v>61</v>
      </c>
      <c r="B942">
        <v>10091</v>
      </c>
      <c r="C942" t="s">
        <v>84</v>
      </c>
      <c r="D942" t="s">
        <v>10</v>
      </c>
      <c r="E942" t="s">
        <v>11</v>
      </c>
      <c r="F942" t="s">
        <v>17</v>
      </c>
      <c r="G942" t="s">
        <v>31</v>
      </c>
      <c r="H942">
        <v>58014.64</v>
      </c>
      <c r="I942">
        <v>1</v>
      </c>
      <c r="J942" t="str">
        <f t="shared" si="70"/>
        <v>High</v>
      </c>
      <c r="K942" t="str">
        <f t="shared" si="71"/>
        <v>High Risk</v>
      </c>
      <c r="L942">
        <f t="shared" si="72"/>
        <v>1</v>
      </c>
      <c r="M942">
        <f t="shared" si="73"/>
        <v>1</v>
      </c>
      <c r="N942" s="6">
        <f t="shared" si="74"/>
        <v>45660</v>
      </c>
    </row>
    <row r="943" spans="1:14" x14ac:dyDescent="0.3">
      <c r="A943">
        <v>62</v>
      </c>
      <c r="B943">
        <v>10059</v>
      </c>
      <c r="C943" t="s">
        <v>85</v>
      </c>
      <c r="D943" t="s">
        <v>20</v>
      </c>
      <c r="E943" t="s">
        <v>11</v>
      </c>
      <c r="F943" t="s">
        <v>12</v>
      </c>
      <c r="G943" t="s">
        <v>31</v>
      </c>
      <c r="H943">
        <v>45345.82</v>
      </c>
      <c r="I943">
        <v>0</v>
      </c>
      <c r="J943" t="str">
        <f t="shared" si="70"/>
        <v>High</v>
      </c>
      <c r="K943" t="str">
        <f t="shared" si="71"/>
        <v>Normal</v>
      </c>
      <c r="L943">
        <f t="shared" si="72"/>
        <v>1</v>
      </c>
      <c r="M943">
        <f t="shared" si="73"/>
        <v>1</v>
      </c>
      <c r="N943" s="6">
        <f t="shared" si="74"/>
        <v>45660</v>
      </c>
    </row>
    <row r="944" spans="1:14" x14ac:dyDescent="0.3">
      <c r="A944">
        <v>63</v>
      </c>
      <c r="B944">
        <v>10070</v>
      </c>
      <c r="C944" t="s">
        <v>86</v>
      </c>
      <c r="D944" t="s">
        <v>10</v>
      </c>
      <c r="E944" t="s">
        <v>16</v>
      </c>
      <c r="F944" t="s">
        <v>12</v>
      </c>
      <c r="G944" t="s">
        <v>31</v>
      </c>
      <c r="H944">
        <v>94879.57</v>
      </c>
      <c r="I944">
        <v>0</v>
      </c>
      <c r="J944" t="str">
        <f t="shared" si="70"/>
        <v>High</v>
      </c>
      <c r="K944" t="str">
        <f t="shared" si="71"/>
        <v>Normal</v>
      </c>
      <c r="L944">
        <f t="shared" si="72"/>
        <v>1</v>
      </c>
      <c r="M944">
        <f t="shared" si="73"/>
        <v>1</v>
      </c>
      <c r="N944" s="6">
        <f t="shared" si="74"/>
        <v>45660</v>
      </c>
    </row>
    <row r="945" spans="1:14" x14ac:dyDescent="0.3">
      <c r="A945">
        <v>64</v>
      </c>
      <c r="B945">
        <v>10043</v>
      </c>
      <c r="C945" t="s">
        <v>87</v>
      </c>
      <c r="D945" t="s">
        <v>29</v>
      </c>
      <c r="E945" t="s">
        <v>11</v>
      </c>
      <c r="F945" t="s">
        <v>17</v>
      </c>
      <c r="G945" t="s">
        <v>18</v>
      </c>
      <c r="H945">
        <v>6154.43</v>
      </c>
      <c r="I945">
        <v>0</v>
      </c>
      <c r="J945" t="str">
        <f t="shared" si="70"/>
        <v>High</v>
      </c>
      <c r="K945" t="str">
        <f t="shared" si="71"/>
        <v>Normal</v>
      </c>
      <c r="L945">
        <f t="shared" si="72"/>
        <v>1</v>
      </c>
      <c r="M945">
        <f t="shared" si="73"/>
        <v>1</v>
      </c>
      <c r="N945" s="6">
        <f t="shared" si="74"/>
        <v>45660</v>
      </c>
    </row>
    <row r="946" spans="1:14" x14ac:dyDescent="0.3">
      <c r="A946">
        <v>65</v>
      </c>
      <c r="B946">
        <v>10007</v>
      </c>
      <c r="C946" t="s">
        <v>88</v>
      </c>
      <c r="D946" t="s">
        <v>10</v>
      </c>
      <c r="E946" t="s">
        <v>24</v>
      </c>
      <c r="F946" t="s">
        <v>17</v>
      </c>
      <c r="G946" t="s">
        <v>31</v>
      </c>
      <c r="H946">
        <v>68570.990000000005</v>
      </c>
      <c r="I946">
        <v>0</v>
      </c>
      <c r="J946" t="str">
        <f t="shared" si="70"/>
        <v>High</v>
      </c>
      <c r="K946" t="str">
        <f t="shared" si="71"/>
        <v>Normal</v>
      </c>
      <c r="L946">
        <f t="shared" si="72"/>
        <v>1</v>
      </c>
      <c r="M946">
        <f t="shared" si="73"/>
        <v>1</v>
      </c>
      <c r="N946" s="6">
        <f t="shared" si="74"/>
        <v>45660</v>
      </c>
    </row>
    <row r="947" spans="1:14" x14ac:dyDescent="0.3">
      <c r="A947">
        <v>66</v>
      </c>
      <c r="B947">
        <v>10046</v>
      </c>
      <c r="C947" t="s">
        <v>89</v>
      </c>
      <c r="D947" t="s">
        <v>20</v>
      </c>
      <c r="E947" t="s">
        <v>16</v>
      </c>
      <c r="F947" t="s">
        <v>17</v>
      </c>
      <c r="G947" t="s">
        <v>21</v>
      </c>
      <c r="H947">
        <v>2594.13</v>
      </c>
      <c r="I947">
        <v>0</v>
      </c>
      <c r="J947" t="str">
        <f t="shared" si="70"/>
        <v>High</v>
      </c>
      <c r="K947" t="str">
        <f t="shared" si="71"/>
        <v>Normal</v>
      </c>
      <c r="L947">
        <f t="shared" si="72"/>
        <v>1</v>
      </c>
      <c r="M947">
        <f t="shared" si="73"/>
        <v>1</v>
      </c>
      <c r="N947" s="6">
        <f t="shared" si="74"/>
        <v>45660</v>
      </c>
    </row>
    <row r="948" spans="1:14" x14ac:dyDescent="0.3">
      <c r="A948">
        <v>67</v>
      </c>
      <c r="B948">
        <v>10034</v>
      </c>
      <c r="C948" t="s">
        <v>90</v>
      </c>
      <c r="D948" t="s">
        <v>15</v>
      </c>
      <c r="E948" t="s">
        <v>16</v>
      </c>
      <c r="F948" t="s">
        <v>12</v>
      </c>
      <c r="G948" t="s">
        <v>31</v>
      </c>
      <c r="H948">
        <v>17226.27</v>
      </c>
      <c r="I948">
        <v>0</v>
      </c>
      <c r="J948" t="str">
        <f t="shared" si="70"/>
        <v>High</v>
      </c>
      <c r="K948" t="str">
        <f t="shared" si="71"/>
        <v>Normal</v>
      </c>
      <c r="L948">
        <f t="shared" si="72"/>
        <v>1</v>
      </c>
      <c r="M948">
        <f t="shared" si="73"/>
        <v>1</v>
      </c>
      <c r="N948" s="6">
        <f t="shared" si="74"/>
        <v>45660</v>
      </c>
    </row>
    <row r="949" spans="1:14" x14ac:dyDescent="0.3">
      <c r="A949">
        <v>68</v>
      </c>
      <c r="B949">
        <v>10077</v>
      </c>
      <c r="C949" t="s">
        <v>91</v>
      </c>
      <c r="D949" t="s">
        <v>29</v>
      </c>
      <c r="E949" t="s">
        <v>11</v>
      </c>
      <c r="F949" t="s">
        <v>12</v>
      </c>
      <c r="G949" t="s">
        <v>18</v>
      </c>
      <c r="H949">
        <v>45412.54</v>
      </c>
      <c r="I949">
        <v>0</v>
      </c>
      <c r="J949" t="str">
        <f t="shared" si="70"/>
        <v>High</v>
      </c>
      <c r="K949" t="str">
        <f t="shared" si="71"/>
        <v>Normal</v>
      </c>
      <c r="L949">
        <f t="shared" si="72"/>
        <v>1</v>
      </c>
      <c r="M949">
        <f t="shared" si="73"/>
        <v>1</v>
      </c>
      <c r="N949" s="6">
        <f t="shared" si="74"/>
        <v>45660</v>
      </c>
    </row>
    <row r="950" spans="1:14" x14ac:dyDescent="0.3">
      <c r="A950">
        <v>69</v>
      </c>
      <c r="B950">
        <v>10080</v>
      </c>
      <c r="C950" t="s">
        <v>92</v>
      </c>
      <c r="D950" t="s">
        <v>15</v>
      </c>
      <c r="E950" t="s">
        <v>16</v>
      </c>
      <c r="F950" t="s">
        <v>17</v>
      </c>
      <c r="G950" t="s">
        <v>31</v>
      </c>
      <c r="H950">
        <v>45541.760000000002</v>
      </c>
      <c r="I950">
        <v>0</v>
      </c>
      <c r="J950" t="str">
        <f t="shared" si="70"/>
        <v>High</v>
      </c>
      <c r="K950" t="str">
        <f t="shared" si="71"/>
        <v>Normal</v>
      </c>
      <c r="L950">
        <f t="shared" si="72"/>
        <v>1</v>
      </c>
      <c r="M950">
        <f t="shared" si="73"/>
        <v>1</v>
      </c>
      <c r="N950" s="6">
        <f t="shared" si="74"/>
        <v>45660</v>
      </c>
    </row>
    <row r="951" spans="1:14" x14ac:dyDescent="0.3">
      <c r="A951">
        <v>70</v>
      </c>
      <c r="B951">
        <v>10035</v>
      </c>
      <c r="C951" t="s">
        <v>93</v>
      </c>
      <c r="D951" t="s">
        <v>15</v>
      </c>
      <c r="E951" t="s">
        <v>11</v>
      </c>
      <c r="F951" t="s">
        <v>17</v>
      </c>
      <c r="G951" t="s">
        <v>13</v>
      </c>
      <c r="H951">
        <v>68601.48</v>
      </c>
      <c r="I951">
        <v>1</v>
      </c>
      <c r="J951" t="str">
        <f t="shared" si="70"/>
        <v>High</v>
      </c>
      <c r="K951" t="str">
        <f t="shared" si="71"/>
        <v>High Risk</v>
      </c>
      <c r="L951">
        <f t="shared" si="72"/>
        <v>1</v>
      </c>
      <c r="M951">
        <f t="shared" si="73"/>
        <v>1</v>
      </c>
      <c r="N951" s="6">
        <f t="shared" si="74"/>
        <v>45660</v>
      </c>
    </row>
    <row r="952" spans="1:14" x14ac:dyDescent="0.3">
      <c r="A952">
        <v>71</v>
      </c>
      <c r="B952">
        <v>10049</v>
      </c>
      <c r="C952" t="s">
        <v>94</v>
      </c>
      <c r="D952" t="s">
        <v>15</v>
      </c>
      <c r="E952" t="s">
        <v>11</v>
      </c>
      <c r="F952" t="s">
        <v>17</v>
      </c>
      <c r="G952" t="s">
        <v>13</v>
      </c>
      <c r="H952">
        <v>91030.28</v>
      </c>
      <c r="I952">
        <v>1</v>
      </c>
      <c r="J952" t="str">
        <f t="shared" si="70"/>
        <v>High</v>
      </c>
      <c r="K952" t="str">
        <f t="shared" si="71"/>
        <v>High Risk</v>
      </c>
      <c r="L952">
        <f t="shared" si="72"/>
        <v>1</v>
      </c>
      <c r="M952">
        <f t="shared" si="73"/>
        <v>1</v>
      </c>
      <c r="N952" s="6">
        <f t="shared" si="74"/>
        <v>45660</v>
      </c>
    </row>
    <row r="953" spans="1:14" x14ac:dyDescent="0.3">
      <c r="A953">
        <v>72</v>
      </c>
      <c r="B953">
        <v>10003</v>
      </c>
      <c r="C953" t="s">
        <v>95</v>
      </c>
      <c r="D953" t="s">
        <v>23</v>
      </c>
      <c r="E953" t="s">
        <v>11</v>
      </c>
      <c r="F953" t="s">
        <v>12</v>
      </c>
      <c r="G953" t="s">
        <v>18</v>
      </c>
      <c r="H953">
        <v>63939.31</v>
      </c>
      <c r="I953">
        <v>1</v>
      </c>
      <c r="J953" t="str">
        <f t="shared" si="70"/>
        <v>High</v>
      </c>
      <c r="K953" t="str">
        <f t="shared" si="71"/>
        <v>High Risk</v>
      </c>
      <c r="L953">
        <f t="shared" si="72"/>
        <v>1</v>
      </c>
      <c r="M953">
        <f t="shared" si="73"/>
        <v>1</v>
      </c>
      <c r="N953" s="6">
        <f t="shared" si="74"/>
        <v>45660</v>
      </c>
    </row>
    <row r="954" spans="1:14" x14ac:dyDescent="0.3">
      <c r="A954">
        <v>25</v>
      </c>
      <c r="B954">
        <v>10032</v>
      </c>
      <c r="C954" t="s">
        <v>48</v>
      </c>
      <c r="D954" t="s">
        <v>20</v>
      </c>
      <c r="E954" t="s">
        <v>24</v>
      </c>
      <c r="F954" t="s">
        <v>17</v>
      </c>
      <c r="G954" t="s">
        <v>31</v>
      </c>
      <c r="H954">
        <v>7025.9</v>
      </c>
      <c r="I954">
        <v>0</v>
      </c>
      <c r="J954" t="str">
        <f t="shared" si="70"/>
        <v>High</v>
      </c>
      <c r="K954" t="str">
        <f t="shared" si="71"/>
        <v>Normal</v>
      </c>
      <c r="L954">
        <f t="shared" si="72"/>
        <v>1</v>
      </c>
      <c r="M954">
        <f t="shared" si="73"/>
        <v>1</v>
      </c>
      <c r="N954" s="6">
        <f t="shared" si="74"/>
        <v>45659</v>
      </c>
    </row>
    <row r="955" spans="1:14" x14ac:dyDescent="0.3">
      <c r="A955">
        <v>26</v>
      </c>
      <c r="B955">
        <v>10075</v>
      </c>
      <c r="C955" t="s">
        <v>49</v>
      </c>
      <c r="D955" t="s">
        <v>10</v>
      </c>
      <c r="E955" t="s">
        <v>24</v>
      </c>
      <c r="F955" t="s">
        <v>17</v>
      </c>
      <c r="G955" t="s">
        <v>13</v>
      </c>
      <c r="H955">
        <v>63868.39</v>
      </c>
      <c r="I955">
        <v>0</v>
      </c>
      <c r="J955" t="str">
        <f t="shared" si="70"/>
        <v>High</v>
      </c>
      <c r="K955" t="str">
        <f t="shared" si="71"/>
        <v>Normal</v>
      </c>
      <c r="L955">
        <f t="shared" si="72"/>
        <v>1</v>
      </c>
      <c r="M955">
        <f t="shared" si="73"/>
        <v>1</v>
      </c>
      <c r="N955" s="6">
        <f t="shared" si="74"/>
        <v>45659</v>
      </c>
    </row>
    <row r="956" spans="1:14" x14ac:dyDescent="0.3">
      <c r="A956">
        <v>27</v>
      </c>
      <c r="B956">
        <v>10057</v>
      </c>
      <c r="C956" t="s">
        <v>50</v>
      </c>
      <c r="D956" t="s">
        <v>20</v>
      </c>
      <c r="E956" t="s">
        <v>24</v>
      </c>
      <c r="F956" t="s">
        <v>12</v>
      </c>
      <c r="G956" t="s">
        <v>13</v>
      </c>
      <c r="H956">
        <v>73327.06</v>
      </c>
      <c r="I956">
        <v>0</v>
      </c>
      <c r="J956" t="str">
        <f t="shared" si="70"/>
        <v>High</v>
      </c>
      <c r="K956" t="str">
        <f t="shared" si="71"/>
        <v>Normal</v>
      </c>
      <c r="L956">
        <f t="shared" si="72"/>
        <v>1</v>
      </c>
      <c r="M956">
        <f t="shared" si="73"/>
        <v>1</v>
      </c>
      <c r="N956" s="6">
        <f t="shared" si="74"/>
        <v>45659</v>
      </c>
    </row>
    <row r="957" spans="1:14" x14ac:dyDescent="0.3">
      <c r="A957">
        <v>28</v>
      </c>
      <c r="B957">
        <v>10021</v>
      </c>
      <c r="C957" t="s">
        <v>51</v>
      </c>
      <c r="D957" t="s">
        <v>20</v>
      </c>
      <c r="E957" t="s">
        <v>24</v>
      </c>
      <c r="F957" t="s">
        <v>17</v>
      </c>
      <c r="G957" t="s">
        <v>31</v>
      </c>
      <c r="H957">
        <v>67644.929999999993</v>
      </c>
      <c r="I957">
        <v>0</v>
      </c>
      <c r="J957" t="str">
        <f t="shared" si="70"/>
        <v>High</v>
      </c>
      <c r="K957" t="str">
        <f t="shared" si="71"/>
        <v>Normal</v>
      </c>
      <c r="L957">
        <f t="shared" si="72"/>
        <v>1</v>
      </c>
      <c r="M957">
        <f t="shared" si="73"/>
        <v>1</v>
      </c>
      <c r="N957" s="6">
        <f t="shared" si="74"/>
        <v>45659</v>
      </c>
    </row>
    <row r="958" spans="1:14" x14ac:dyDescent="0.3">
      <c r="A958">
        <v>29</v>
      </c>
      <c r="B958">
        <v>10088</v>
      </c>
      <c r="C958" t="s">
        <v>52</v>
      </c>
      <c r="D958" t="s">
        <v>23</v>
      </c>
      <c r="E958" t="s">
        <v>24</v>
      </c>
      <c r="F958" t="s">
        <v>17</v>
      </c>
      <c r="G958" t="s">
        <v>18</v>
      </c>
      <c r="H958">
        <v>13929.71</v>
      </c>
      <c r="I958">
        <v>0</v>
      </c>
      <c r="J958" t="str">
        <f t="shared" si="70"/>
        <v>High</v>
      </c>
      <c r="K958" t="str">
        <f t="shared" si="71"/>
        <v>Normal</v>
      </c>
      <c r="L958">
        <f t="shared" si="72"/>
        <v>1</v>
      </c>
      <c r="M958">
        <f t="shared" si="73"/>
        <v>1</v>
      </c>
      <c r="N958" s="6">
        <f t="shared" si="74"/>
        <v>45659</v>
      </c>
    </row>
    <row r="959" spans="1:14" x14ac:dyDescent="0.3">
      <c r="A959">
        <v>30</v>
      </c>
      <c r="B959">
        <v>10048</v>
      </c>
      <c r="C959" t="s">
        <v>53</v>
      </c>
      <c r="D959" t="s">
        <v>20</v>
      </c>
      <c r="E959" t="s">
        <v>16</v>
      </c>
      <c r="F959" t="s">
        <v>12</v>
      </c>
      <c r="G959" t="s">
        <v>25</v>
      </c>
      <c r="H959">
        <v>57926.13</v>
      </c>
      <c r="I959">
        <v>0</v>
      </c>
      <c r="J959" t="str">
        <f t="shared" si="70"/>
        <v>High</v>
      </c>
      <c r="K959" t="str">
        <f t="shared" si="71"/>
        <v>Normal</v>
      </c>
      <c r="L959">
        <f t="shared" si="72"/>
        <v>1</v>
      </c>
      <c r="M959">
        <f t="shared" si="73"/>
        <v>1</v>
      </c>
      <c r="N959" s="6">
        <f t="shared" si="74"/>
        <v>45659</v>
      </c>
    </row>
    <row r="960" spans="1:14" x14ac:dyDescent="0.3">
      <c r="A960">
        <v>31</v>
      </c>
      <c r="B960">
        <v>10090</v>
      </c>
      <c r="C960" t="s">
        <v>54</v>
      </c>
      <c r="D960" t="s">
        <v>15</v>
      </c>
      <c r="E960" t="s">
        <v>11</v>
      </c>
      <c r="F960" t="s">
        <v>12</v>
      </c>
      <c r="G960" t="s">
        <v>21</v>
      </c>
      <c r="H960">
        <v>56991.5</v>
      </c>
      <c r="I960">
        <v>1</v>
      </c>
      <c r="J960" t="str">
        <f t="shared" si="70"/>
        <v>High</v>
      </c>
      <c r="K960" t="str">
        <f t="shared" si="71"/>
        <v>High Risk</v>
      </c>
      <c r="L960">
        <f t="shared" si="72"/>
        <v>1</v>
      </c>
      <c r="M960">
        <f t="shared" si="73"/>
        <v>1</v>
      </c>
      <c r="N960" s="6">
        <f t="shared" si="74"/>
        <v>45659</v>
      </c>
    </row>
    <row r="961" spans="1:14" x14ac:dyDescent="0.3">
      <c r="A961">
        <v>32</v>
      </c>
      <c r="B961">
        <v>10058</v>
      </c>
      <c r="C961" t="s">
        <v>55</v>
      </c>
      <c r="D961" t="s">
        <v>23</v>
      </c>
      <c r="E961" t="s">
        <v>11</v>
      </c>
      <c r="F961" t="s">
        <v>12</v>
      </c>
      <c r="G961" t="s">
        <v>18</v>
      </c>
      <c r="H961">
        <v>86854.24</v>
      </c>
      <c r="I961">
        <v>1</v>
      </c>
      <c r="J961" t="str">
        <f t="shared" si="70"/>
        <v>High</v>
      </c>
      <c r="K961" t="str">
        <f t="shared" si="71"/>
        <v>High Risk</v>
      </c>
      <c r="L961">
        <f t="shared" si="72"/>
        <v>1</v>
      </c>
      <c r="M961">
        <f t="shared" si="73"/>
        <v>1</v>
      </c>
      <c r="N961" s="6">
        <f t="shared" si="74"/>
        <v>45659</v>
      </c>
    </row>
    <row r="962" spans="1:14" x14ac:dyDescent="0.3">
      <c r="A962">
        <v>33</v>
      </c>
      <c r="B962">
        <v>10041</v>
      </c>
      <c r="C962" t="s">
        <v>56</v>
      </c>
      <c r="D962" t="s">
        <v>15</v>
      </c>
      <c r="E962" t="s">
        <v>11</v>
      </c>
      <c r="F962" t="s">
        <v>12</v>
      </c>
      <c r="G962" t="s">
        <v>31</v>
      </c>
      <c r="H962">
        <v>37974.85</v>
      </c>
      <c r="I962">
        <v>0</v>
      </c>
      <c r="J962" t="str">
        <f t="shared" ref="J962:J1001" si="75">IF(E962&gt;50000,"High","Normal")</f>
        <v>High</v>
      </c>
      <c r="K962" t="str">
        <f t="shared" ref="K962:K1001" si="76">IF(AND(H962&gt;50000,E962="Online"),"High Risk","Normal")</f>
        <v>Normal</v>
      </c>
      <c r="L962">
        <f t="shared" ref="L962:L1001" si="77">COUNTIFS(C:C,C962,B:B,B962)</f>
        <v>1</v>
      </c>
      <c r="M962">
        <f t="shared" ref="M962:M1001" si="78">IF(E962&gt;50000,1,0) + IF(H962="Unusual",1,0) + IF(I962&gt;3,1,0)</f>
        <v>1</v>
      </c>
      <c r="N962" s="6">
        <f t="shared" ref="N962:N1001" si="79">INT(C962)</f>
        <v>45659</v>
      </c>
    </row>
    <row r="963" spans="1:14" x14ac:dyDescent="0.3">
      <c r="A963">
        <v>34</v>
      </c>
      <c r="B963">
        <v>10091</v>
      </c>
      <c r="C963" t="s">
        <v>57</v>
      </c>
      <c r="D963" t="s">
        <v>10</v>
      </c>
      <c r="E963" t="s">
        <v>11</v>
      </c>
      <c r="F963" t="s">
        <v>17</v>
      </c>
      <c r="G963" t="s">
        <v>21</v>
      </c>
      <c r="H963">
        <v>37211.449999999997</v>
      </c>
      <c r="I963">
        <v>0</v>
      </c>
      <c r="J963" t="str">
        <f t="shared" si="75"/>
        <v>High</v>
      </c>
      <c r="K963" t="str">
        <f t="shared" si="76"/>
        <v>Normal</v>
      </c>
      <c r="L963">
        <f t="shared" si="77"/>
        <v>1</v>
      </c>
      <c r="M963">
        <f t="shared" si="78"/>
        <v>1</v>
      </c>
      <c r="N963" s="6">
        <f t="shared" si="79"/>
        <v>45659</v>
      </c>
    </row>
    <row r="964" spans="1:14" x14ac:dyDescent="0.3">
      <c r="A964">
        <v>35</v>
      </c>
      <c r="B964">
        <v>10059</v>
      </c>
      <c r="C964" t="s">
        <v>58</v>
      </c>
      <c r="D964" t="s">
        <v>23</v>
      </c>
      <c r="E964" t="s">
        <v>11</v>
      </c>
      <c r="F964" t="s">
        <v>12</v>
      </c>
      <c r="G964" t="s">
        <v>13</v>
      </c>
      <c r="H964">
        <v>61890.85</v>
      </c>
      <c r="I964">
        <v>1</v>
      </c>
      <c r="J964" t="str">
        <f t="shared" si="75"/>
        <v>High</v>
      </c>
      <c r="K964" t="str">
        <f t="shared" si="76"/>
        <v>High Risk</v>
      </c>
      <c r="L964">
        <f t="shared" si="77"/>
        <v>1</v>
      </c>
      <c r="M964">
        <f t="shared" si="78"/>
        <v>1</v>
      </c>
      <c r="N964" s="6">
        <f t="shared" si="79"/>
        <v>45659</v>
      </c>
    </row>
    <row r="965" spans="1:14" x14ac:dyDescent="0.3">
      <c r="A965">
        <v>36</v>
      </c>
      <c r="B965">
        <v>10079</v>
      </c>
      <c r="C965" t="s">
        <v>59</v>
      </c>
      <c r="D965" t="s">
        <v>10</v>
      </c>
      <c r="E965" t="s">
        <v>11</v>
      </c>
      <c r="F965" t="s">
        <v>12</v>
      </c>
      <c r="G965" t="s">
        <v>25</v>
      </c>
      <c r="H965">
        <v>63343.96</v>
      </c>
      <c r="I965">
        <v>1</v>
      </c>
      <c r="J965" t="str">
        <f t="shared" si="75"/>
        <v>High</v>
      </c>
      <c r="K965" t="str">
        <f t="shared" si="76"/>
        <v>High Risk</v>
      </c>
      <c r="L965">
        <f t="shared" si="77"/>
        <v>1</v>
      </c>
      <c r="M965">
        <f t="shared" si="78"/>
        <v>1</v>
      </c>
      <c r="N965" s="6">
        <f t="shared" si="79"/>
        <v>45659</v>
      </c>
    </row>
    <row r="966" spans="1:14" x14ac:dyDescent="0.3">
      <c r="A966">
        <v>37</v>
      </c>
      <c r="B966">
        <v>10014</v>
      </c>
      <c r="C966" t="s">
        <v>60</v>
      </c>
      <c r="D966" t="s">
        <v>23</v>
      </c>
      <c r="E966" t="s">
        <v>11</v>
      </c>
      <c r="F966" t="s">
        <v>17</v>
      </c>
      <c r="G966" t="s">
        <v>13</v>
      </c>
      <c r="H966">
        <v>46981.59</v>
      </c>
      <c r="I966">
        <v>0</v>
      </c>
      <c r="J966" t="str">
        <f t="shared" si="75"/>
        <v>High</v>
      </c>
      <c r="K966" t="str">
        <f t="shared" si="76"/>
        <v>Normal</v>
      </c>
      <c r="L966">
        <f t="shared" si="77"/>
        <v>1</v>
      </c>
      <c r="M966">
        <f t="shared" si="78"/>
        <v>1</v>
      </c>
      <c r="N966" s="6">
        <f t="shared" si="79"/>
        <v>45659</v>
      </c>
    </row>
    <row r="967" spans="1:14" x14ac:dyDescent="0.3">
      <c r="A967">
        <v>38</v>
      </c>
      <c r="B967">
        <v>10061</v>
      </c>
      <c r="C967" t="s">
        <v>61</v>
      </c>
      <c r="D967" t="s">
        <v>29</v>
      </c>
      <c r="E967" t="s">
        <v>11</v>
      </c>
      <c r="F967" t="s">
        <v>17</v>
      </c>
      <c r="G967" t="s">
        <v>31</v>
      </c>
      <c r="H967">
        <v>44361.63</v>
      </c>
      <c r="I967">
        <v>0</v>
      </c>
      <c r="J967" t="str">
        <f t="shared" si="75"/>
        <v>High</v>
      </c>
      <c r="K967" t="str">
        <f t="shared" si="76"/>
        <v>Normal</v>
      </c>
      <c r="L967">
        <f t="shared" si="77"/>
        <v>1</v>
      </c>
      <c r="M967">
        <f t="shared" si="78"/>
        <v>1</v>
      </c>
      <c r="N967" s="6">
        <f t="shared" si="79"/>
        <v>45659</v>
      </c>
    </row>
    <row r="968" spans="1:14" x14ac:dyDescent="0.3">
      <c r="A968">
        <v>39</v>
      </c>
      <c r="B968">
        <v>10061</v>
      </c>
      <c r="C968" t="s">
        <v>62</v>
      </c>
      <c r="D968" t="s">
        <v>20</v>
      </c>
      <c r="E968" t="s">
        <v>16</v>
      </c>
      <c r="F968" t="s">
        <v>12</v>
      </c>
      <c r="G968" t="s">
        <v>21</v>
      </c>
      <c r="H968">
        <v>49465.35</v>
      </c>
      <c r="I968">
        <v>0</v>
      </c>
      <c r="J968" t="str">
        <f t="shared" si="75"/>
        <v>High</v>
      </c>
      <c r="K968" t="str">
        <f t="shared" si="76"/>
        <v>Normal</v>
      </c>
      <c r="L968">
        <f t="shared" si="77"/>
        <v>1</v>
      </c>
      <c r="M968">
        <f t="shared" si="78"/>
        <v>1</v>
      </c>
      <c r="N968" s="6">
        <f t="shared" si="79"/>
        <v>45659</v>
      </c>
    </row>
    <row r="969" spans="1:14" x14ac:dyDescent="0.3">
      <c r="A969">
        <v>40</v>
      </c>
      <c r="B969">
        <v>10046</v>
      </c>
      <c r="C969" t="s">
        <v>63</v>
      </c>
      <c r="D969" t="s">
        <v>29</v>
      </c>
      <c r="E969" t="s">
        <v>11</v>
      </c>
      <c r="F969" t="s">
        <v>17</v>
      </c>
      <c r="G969" t="s">
        <v>31</v>
      </c>
      <c r="H969">
        <v>86118.43</v>
      </c>
      <c r="I969">
        <v>1</v>
      </c>
      <c r="J969" t="str">
        <f t="shared" si="75"/>
        <v>High</v>
      </c>
      <c r="K969" t="str">
        <f t="shared" si="76"/>
        <v>High Risk</v>
      </c>
      <c r="L969">
        <f t="shared" si="77"/>
        <v>1</v>
      </c>
      <c r="M969">
        <f t="shared" si="78"/>
        <v>1</v>
      </c>
      <c r="N969" s="6">
        <f t="shared" si="79"/>
        <v>45659</v>
      </c>
    </row>
    <row r="970" spans="1:14" x14ac:dyDescent="0.3">
      <c r="A970">
        <v>41</v>
      </c>
      <c r="B970">
        <v>10061</v>
      </c>
      <c r="C970" t="s">
        <v>64</v>
      </c>
      <c r="D970" t="s">
        <v>10</v>
      </c>
      <c r="E970" t="s">
        <v>16</v>
      </c>
      <c r="F970" t="s">
        <v>12</v>
      </c>
      <c r="G970" t="s">
        <v>21</v>
      </c>
      <c r="H970">
        <v>46170.57</v>
      </c>
      <c r="I970">
        <v>0</v>
      </c>
      <c r="J970" t="str">
        <f t="shared" si="75"/>
        <v>High</v>
      </c>
      <c r="K970" t="str">
        <f t="shared" si="76"/>
        <v>Normal</v>
      </c>
      <c r="L970">
        <f t="shared" si="77"/>
        <v>1</v>
      </c>
      <c r="M970">
        <f t="shared" si="78"/>
        <v>1</v>
      </c>
      <c r="N970" s="6">
        <f t="shared" si="79"/>
        <v>45659</v>
      </c>
    </row>
    <row r="971" spans="1:14" x14ac:dyDescent="0.3">
      <c r="A971">
        <v>42</v>
      </c>
      <c r="B971">
        <v>10050</v>
      </c>
      <c r="C971" t="s">
        <v>65</v>
      </c>
      <c r="D971" t="s">
        <v>20</v>
      </c>
      <c r="E971" t="s">
        <v>24</v>
      </c>
      <c r="F971" t="s">
        <v>12</v>
      </c>
      <c r="G971" t="s">
        <v>18</v>
      </c>
      <c r="H971">
        <v>93999.19</v>
      </c>
      <c r="I971">
        <v>0</v>
      </c>
      <c r="J971" t="str">
        <f t="shared" si="75"/>
        <v>High</v>
      </c>
      <c r="K971" t="str">
        <f t="shared" si="76"/>
        <v>Normal</v>
      </c>
      <c r="L971">
        <f t="shared" si="77"/>
        <v>1</v>
      </c>
      <c r="M971">
        <f t="shared" si="78"/>
        <v>1</v>
      </c>
      <c r="N971" s="6">
        <f t="shared" si="79"/>
        <v>45659</v>
      </c>
    </row>
    <row r="972" spans="1:14" x14ac:dyDescent="0.3">
      <c r="A972">
        <v>43</v>
      </c>
      <c r="B972">
        <v>10054</v>
      </c>
      <c r="C972" t="s">
        <v>66</v>
      </c>
      <c r="D972" t="s">
        <v>23</v>
      </c>
      <c r="E972" t="s">
        <v>11</v>
      </c>
      <c r="F972" t="s">
        <v>17</v>
      </c>
      <c r="G972" t="s">
        <v>25</v>
      </c>
      <c r="H972">
        <v>50449.98</v>
      </c>
      <c r="I972">
        <v>1</v>
      </c>
      <c r="J972" t="str">
        <f t="shared" si="75"/>
        <v>High</v>
      </c>
      <c r="K972" t="str">
        <f t="shared" si="76"/>
        <v>High Risk</v>
      </c>
      <c r="L972">
        <f t="shared" si="77"/>
        <v>1</v>
      </c>
      <c r="M972">
        <f t="shared" si="78"/>
        <v>1</v>
      </c>
      <c r="N972" s="6">
        <f t="shared" si="79"/>
        <v>45659</v>
      </c>
    </row>
    <row r="973" spans="1:14" x14ac:dyDescent="0.3">
      <c r="A973">
        <v>44</v>
      </c>
      <c r="B973">
        <v>10063</v>
      </c>
      <c r="C973" t="s">
        <v>67</v>
      </c>
      <c r="D973" t="s">
        <v>20</v>
      </c>
      <c r="E973" t="s">
        <v>24</v>
      </c>
      <c r="F973" t="s">
        <v>17</v>
      </c>
      <c r="G973" t="s">
        <v>18</v>
      </c>
      <c r="H973">
        <v>94925.15</v>
      </c>
      <c r="I973">
        <v>0</v>
      </c>
      <c r="J973" t="str">
        <f t="shared" si="75"/>
        <v>High</v>
      </c>
      <c r="K973" t="str">
        <f t="shared" si="76"/>
        <v>Normal</v>
      </c>
      <c r="L973">
        <f t="shared" si="77"/>
        <v>1</v>
      </c>
      <c r="M973">
        <f t="shared" si="78"/>
        <v>1</v>
      </c>
      <c r="N973" s="6">
        <f t="shared" si="79"/>
        <v>45659</v>
      </c>
    </row>
    <row r="974" spans="1:14" x14ac:dyDescent="0.3">
      <c r="A974">
        <v>45</v>
      </c>
      <c r="B974">
        <v>10002</v>
      </c>
      <c r="C974" t="s">
        <v>68</v>
      </c>
      <c r="D974" t="s">
        <v>15</v>
      </c>
      <c r="E974" t="s">
        <v>24</v>
      </c>
      <c r="F974" t="s">
        <v>12</v>
      </c>
      <c r="G974" t="s">
        <v>18</v>
      </c>
      <c r="H974">
        <v>83299.91</v>
      </c>
      <c r="I974">
        <v>0</v>
      </c>
      <c r="J974" t="str">
        <f t="shared" si="75"/>
        <v>High</v>
      </c>
      <c r="K974" t="str">
        <f t="shared" si="76"/>
        <v>Normal</v>
      </c>
      <c r="L974">
        <f t="shared" si="77"/>
        <v>1</v>
      </c>
      <c r="M974">
        <f t="shared" si="78"/>
        <v>1</v>
      </c>
      <c r="N974" s="6">
        <f t="shared" si="79"/>
        <v>45659</v>
      </c>
    </row>
    <row r="975" spans="1:14" x14ac:dyDescent="0.3">
      <c r="A975">
        <v>46</v>
      </c>
      <c r="B975">
        <v>10050</v>
      </c>
      <c r="C975" t="s">
        <v>69</v>
      </c>
      <c r="D975" t="s">
        <v>20</v>
      </c>
      <c r="E975" t="s">
        <v>24</v>
      </c>
      <c r="F975" t="s">
        <v>12</v>
      </c>
      <c r="G975" t="s">
        <v>31</v>
      </c>
      <c r="H975">
        <v>36306.89</v>
      </c>
      <c r="I975">
        <v>0</v>
      </c>
      <c r="J975" t="str">
        <f t="shared" si="75"/>
        <v>High</v>
      </c>
      <c r="K975" t="str">
        <f t="shared" si="76"/>
        <v>Normal</v>
      </c>
      <c r="L975">
        <f t="shared" si="77"/>
        <v>1</v>
      </c>
      <c r="M975">
        <f t="shared" si="78"/>
        <v>1</v>
      </c>
      <c r="N975" s="6">
        <f t="shared" si="79"/>
        <v>45659</v>
      </c>
    </row>
    <row r="976" spans="1:14" x14ac:dyDescent="0.3">
      <c r="A976">
        <v>47</v>
      </c>
      <c r="B976">
        <v>10006</v>
      </c>
      <c r="C976" t="s">
        <v>70</v>
      </c>
      <c r="D976" t="s">
        <v>15</v>
      </c>
      <c r="E976" t="s">
        <v>16</v>
      </c>
      <c r="F976" t="s">
        <v>12</v>
      </c>
      <c r="G976" t="s">
        <v>25</v>
      </c>
      <c r="H976">
        <v>86377.78</v>
      </c>
      <c r="I976">
        <v>0</v>
      </c>
      <c r="J976" t="str">
        <f t="shared" si="75"/>
        <v>High</v>
      </c>
      <c r="K976" t="str">
        <f t="shared" si="76"/>
        <v>Normal</v>
      </c>
      <c r="L976">
        <f t="shared" si="77"/>
        <v>1</v>
      </c>
      <c r="M976">
        <f t="shared" si="78"/>
        <v>1</v>
      </c>
      <c r="N976" s="6">
        <f t="shared" si="79"/>
        <v>45659</v>
      </c>
    </row>
    <row r="977" spans="1:14" x14ac:dyDescent="0.3">
      <c r="A977">
        <v>48</v>
      </c>
      <c r="B977">
        <v>10020</v>
      </c>
      <c r="C977" t="s">
        <v>71</v>
      </c>
      <c r="D977" t="s">
        <v>20</v>
      </c>
      <c r="E977" t="s">
        <v>24</v>
      </c>
      <c r="F977" t="s">
        <v>17</v>
      </c>
      <c r="G977" t="s">
        <v>21</v>
      </c>
      <c r="H977">
        <v>11095.32</v>
      </c>
      <c r="I977">
        <v>0</v>
      </c>
      <c r="J977" t="str">
        <f t="shared" si="75"/>
        <v>High</v>
      </c>
      <c r="K977" t="str">
        <f t="shared" si="76"/>
        <v>Normal</v>
      </c>
      <c r="L977">
        <f t="shared" si="77"/>
        <v>1</v>
      </c>
      <c r="M977">
        <f t="shared" si="78"/>
        <v>1</v>
      </c>
      <c r="N977" s="6">
        <f t="shared" si="79"/>
        <v>45659</v>
      </c>
    </row>
    <row r="978" spans="1:14" x14ac:dyDescent="0.3">
      <c r="A978">
        <v>1</v>
      </c>
      <c r="B978">
        <v>10051</v>
      </c>
      <c r="C978" t="s">
        <v>9</v>
      </c>
      <c r="D978" t="s">
        <v>10</v>
      </c>
      <c r="E978" t="s">
        <v>11</v>
      </c>
      <c r="F978" t="s">
        <v>12</v>
      </c>
      <c r="G978" t="s">
        <v>13</v>
      </c>
      <c r="H978">
        <v>671.29</v>
      </c>
      <c r="I978">
        <v>0</v>
      </c>
      <c r="J978" t="str">
        <f t="shared" si="75"/>
        <v>High</v>
      </c>
      <c r="K978" t="str">
        <f t="shared" si="76"/>
        <v>Normal</v>
      </c>
      <c r="L978">
        <f t="shared" si="77"/>
        <v>1</v>
      </c>
      <c r="M978">
        <f t="shared" si="78"/>
        <v>1</v>
      </c>
      <c r="N978" s="6">
        <f t="shared" si="79"/>
        <v>45658</v>
      </c>
    </row>
    <row r="979" spans="1:14" x14ac:dyDescent="0.3">
      <c r="A979">
        <v>2</v>
      </c>
      <c r="B979">
        <v>10092</v>
      </c>
      <c r="C979" t="s">
        <v>14</v>
      </c>
      <c r="D979" t="s">
        <v>15</v>
      </c>
      <c r="E979" t="s">
        <v>16</v>
      </c>
      <c r="F979" t="s">
        <v>17</v>
      </c>
      <c r="G979" t="s">
        <v>18</v>
      </c>
      <c r="H979">
        <v>46635.99</v>
      </c>
      <c r="I979">
        <v>0</v>
      </c>
      <c r="J979" t="str">
        <f t="shared" si="75"/>
        <v>High</v>
      </c>
      <c r="K979" t="str">
        <f t="shared" si="76"/>
        <v>Normal</v>
      </c>
      <c r="L979">
        <f t="shared" si="77"/>
        <v>1</v>
      </c>
      <c r="M979">
        <f t="shared" si="78"/>
        <v>1</v>
      </c>
      <c r="N979" s="6">
        <f t="shared" si="79"/>
        <v>45658</v>
      </c>
    </row>
    <row r="980" spans="1:14" x14ac:dyDescent="0.3">
      <c r="A980">
        <v>3</v>
      </c>
      <c r="B980">
        <v>10014</v>
      </c>
      <c r="C980" t="s">
        <v>19</v>
      </c>
      <c r="D980" t="s">
        <v>20</v>
      </c>
      <c r="E980" t="s">
        <v>16</v>
      </c>
      <c r="F980" t="s">
        <v>12</v>
      </c>
      <c r="G980" t="s">
        <v>21</v>
      </c>
      <c r="H980">
        <v>57159.11</v>
      </c>
      <c r="I980">
        <v>0</v>
      </c>
      <c r="J980" t="str">
        <f t="shared" si="75"/>
        <v>High</v>
      </c>
      <c r="K980" t="str">
        <f t="shared" si="76"/>
        <v>Normal</v>
      </c>
      <c r="L980">
        <f t="shared" si="77"/>
        <v>1</v>
      </c>
      <c r="M980">
        <f t="shared" si="78"/>
        <v>1</v>
      </c>
      <c r="N980" s="6">
        <f t="shared" si="79"/>
        <v>45658</v>
      </c>
    </row>
    <row r="981" spans="1:14" x14ac:dyDescent="0.3">
      <c r="A981">
        <v>4</v>
      </c>
      <c r="B981">
        <v>10071</v>
      </c>
      <c r="C981" t="s">
        <v>22</v>
      </c>
      <c r="D981" t="s">
        <v>23</v>
      </c>
      <c r="E981" t="s">
        <v>24</v>
      </c>
      <c r="F981" t="s">
        <v>12</v>
      </c>
      <c r="G981" t="s">
        <v>25</v>
      </c>
      <c r="H981">
        <v>30472.62</v>
      </c>
      <c r="I981">
        <v>0</v>
      </c>
      <c r="J981" t="str">
        <f t="shared" si="75"/>
        <v>High</v>
      </c>
      <c r="K981" t="str">
        <f t="shared" si="76"/>
        <v>Normal</v>
      </c>
      <c r="L981">
        <f t="shared" si="77"/>
        <v>1</v>
      </c>
      <c r="M981">
        <f t="shared" si="78"/>
        <v>1</v>
      </c>
      <c r="N981" s="6">
        <f t="shared" si="79"/>
        <v>45658</v>
      </c>
    </row>
    <row r="982" spans="1:14" x14ac:dyDescent="0.3">
      <c r="A982">
        <v>5</v>
      </c>
      <c r="B982">
        <v>10060</v>
      </c>
      <c r="C982" t="s">
        <v>26</v>
      </c>
      <c r="D982" t="s">
        <v>10</v>
      </c>
      <c r="E982" t="s">
        <v>16</v>
      </c>
      <c r="F982" t="s">
        <v>12</v>
      </c>
      <c r="G982" t="s">
        <v>25</v>
      </c>
      <c r="H982">
        <v>31878.63</v>
      </c>
      <c r="I982">
        <v>0</v>
      </c>
      <c r="J982" t="str">
        <f t="shared" si="75"/>
        <v>High</v>
      </c>
      <c r="K982" t="str">
        <f t="shared" si="76"/>
        <v>Normal</v>
      </c>
      <c r="L982">
        <f t="shared" si="77"/>
        <v>1</v>
      </c>
      <c r="M982">
        <f t="shared" si="78"/>
        <v>1</v>
      </c>
      <c r="N982" s="6">
        <f t="shared" si="79"/>
        <v>45658</v>
      </c>
    </row>
    <row r="983" spans="1:14" x14ac:dyDescent="0.3">
      <c r="A983">
        <v>6</v>
      </c>
      <c r="B983">
        <v>10020</v>
      </c>
      <c r="C983" t="s">
        <v>27</v>
      </c>
      <c r="D983" t="s">
        <v>15</v>
      </c>
      <c r="E983" t="s">
        <v>24</v>
      </c>
      <c r="F983" t="s">
        <v>12</v>
      </c>
      <c r="G983" t="s">
        <v>18</v>
      </c>
      <c r="H983">
        <v>96119.83</v>
      </c>
      <c r="I983">
        <v>0</v>
      </c>
      <c r="J983" t="str">
        <f t="shared" si="75"/>
        <v>High</v>
      </c>
      <c r="K983" t="str">
        <f t="shared" si="76"/>
        <v>Normal</v>
      </c>
      <c r="L983">
        <f t="shared" si="77"/>
        <v>1</v>
      </c>
      <c r="M983">
        <f t="shared" si="78"/>
        <v>1</v>
      </c>
      <c r="N983" s="6">
        <f t="shared" si="79"/>
        <v>45658</v>
      </c>
    </row>
    <row r="984" spans="1:14" x14ac:dyDescent="0.3">
      <c r="A984">
        <v>7</v>
      </c>
      <c r="B984">
        <v>10082</v>
      </c>
      <c r="C984" t="s">
        <v>28</v>
      </c>
      <c r="D984" t="s">
        <v>29</v>
      </c>
      <c r="E984" t="s">
        <v>24</v>
      </c>
      <c r="F984" t="s">
        <v>12</v>
      </c>
      <c r="G984" t="s">
        <v>21</v>
      </c>
      <c r="H984">
        <v>89181.92</v>
      </c>
      <c r="I984">
        <v>0</v>
      </c>
      <c r="J984" t="str">
        <f t="shared" si="75"/>
        <v>High</v>
      </c>
      <c r="K984" t="str">
        <f t="shared" si="76"/>
        <v>Normal</v>
      </c>
      <c r="L984">
        <f t="shared" si="77"/>
        <v>1</v>
      </c>
      <c r="M984">
        <f t="shared" si="78"/>
        <v>1</v>
      </c>
      <c r="N984" s="6">
        <f t="shared" si="79"/>
        <v>45658</v>
      </c>
    </row>
    <row r="985" spans="1:14" x14ac:dyDescent="0.3">
      <c r="A985">
        <v>8</v>
      </c>
      <c r="B985">
        <v>10086</v>
      </c>
      <c r="C985" t="s">
        <v>30</v>
      </c>
      <c r="D985" t="s">
        <v>20</v>
      </c>
      <c r="E985" t="s">
        <v>24</v>
      </c>
      <c r="F985" t="s">
        <v>17</v>
      </c>
      <c r="G985" t="s">
        <v>31</v>
      </c>
      <c r="H985">
        <v>84932.98</v>
      </c>
      <c r="I985">
        <v>0</v>
      </c>
      <c r="J985" t="str">
        <f t="shared" si="75"/>
        <v>High</v>
      </c>
      <c r="K985" t="str">
        <f t="shared" si="76"/>
        <v>Normal</v>
      </c>
      <c r="L985">
        <f t="shared" si="77"/>
        <v>1</v>
      </c>
      <c r="M985">
        <f t="shared" si="78"/>
        <v>1</v>
      </c>
      <c r="N985" s="6">
        <f t="shared" si="79"/>
        <v>45658</v>
      </c>
    </row>
    <row r="986" spans="1:14" x14ac:dyDescent="0.3">
      <c r="A986">
        <v>9</v>
      </c>
      <c r="B986">
        <v>10074</v>
      </c>
      <c r="C986" t="s">
        <v>32</v>
      </c>
      <c r="D986" t="s">
        <v>10</v>
      </c>
      <c r="E986" t="s">
        <v>24</v>
      </c>
      <c r="F986" t="s">
        <v>17</v>
      </c>
      <c r="G986" t="s">
        <v>13</v>
      </c>
      <c r="H986">
        <v>40660.58</v>
      </c>
      <c r="I986">
        <v>0</v>
      </c>
      <c r="J986" t="str">
        <f t="shared" si="75"/>
        <v>High</v>
      </c>
      <c r="K986" t="str">
        <f t="shared" si="76"/>
        <v>Normal</v>
      </c>
      <c r="L986">
        <f t="shared" si="77"/>
        <v>1</v>
      </c>
      <c r="M986">
        <f t="shared" si="78"/>
        <v>1</v>
      </c>
      <c r="N986" s="6">
        <f t="shared" si="79"/>
        <v>45658</v>
      </c>
    </row>
    <row r="987" spans="1:14" x14ac:dyDescent="0.3">
      <c r="A987">
        <v>10</v>
      </c>
      <c r="B987">
        <v>10074</v>
      </c>
      <c r="C987" t="s">
        <v>33</v>
      </c>
      <c r="D987" t="s">
        <v>10</v>
      </c>
      <c r="E987" t="s">
        <v>11</v>
      </c>
      <c r="F987" t="s">
        <v>17</v>
      </c>
      <c r="G987" t="s">
        <v>21</v>
      </c>
      <c r="H987">
        <v>1468.49</v>
      </c>
      <c r="I987">
        <v>0</v>
      </c>
      <c r="J987" t="str">
        <f t="shared" si="75"/>
        <v>High</v>
      </c>
      <c r="K987" t="str">
        <f t="shared" si="76"/>
        <v>Normal</v>
      </c>
      <c r="L987">
        <f t="shared" si="77"/>
        <v>1</v>
      </c>
      <c r="M987">
        <f t="shared" si="78"/>
        <v>1</v>
      </c>
      <c r="N987" s="6">
        <f t="shared" si="79"/>
        <v>45658</v>
      </c>
    </row>
    <row r="988" spans="1:14" x14ac:dyDescent="0.3">
      <c r="A988">
        <v>11</v>
      </c>
      <c r="B988">
        <v>10087</v>
      </c>
      <c r="C988" t="s">
        <v>34</v>
      </c>
      <c r="D988" t="s">
        <v>23</v>
      </c>
      <c r="E988" t="s">
        <v>24</v>
      </c>
      <c r="F988" t="s">
        <v>12</v>
      </c>
      <c r="G988" t="s">
        <v>25</v>
      </c>
      <c r="H988">
        <v>8114.2</v>
      </c>
      <c r="I988">
        <v>0</v>
      </c>
      <c r="J988" t="str">
        <f t="shared" si="75"/>
        <v>High</v>
      </c>
      <c r="K988" t="str">
        <f t="shared" si="76"/>
        <v>Normal</v>
      </c>
      <c r="L988">
        <f t="shared" si="77"/>
        <v>1</v>
      </c>
      <c r="M988">
        <f t="shared" si="78"/>
        <v>1</v>
      </c>
      <c r="N988" s="6">
        <f t="shared" si="79"/>
        <v>45658</v>
      </c>
    </row>
    <row r="989" spans="1:14" x14ac:dyDescent="0.3">
      <c r="A989">
        <v>12</v>
      </c>
      <c r="B989">
        <v>10099</v>
      </c>
      <c r="C989" t="s">
        <v>35</v>
      </c>
      <c r="D989" t="s">
        <v>23</v>
      </c>
      <c r="E989" t="s">
        <v>16</v>
      </c>
      <c r="F989" t="s">
        <v>17</v>
      </c>
      <c r="G989" t="s">
        <v>18</v>
      </c>
      <c r="H989">
        <v>31288.42</v>
      </c>
      <c r="I989">
        <v>0</v>
      </c>
      <c r="J989" t="str">
        <f t="shared" si="75"/>
        <v>High</v>
      </c>
      <c r="K989" t="str">
        <f t="shared" si="76"/>
        <v>Normal</v>
      </c>
      <c r="L989">
        <f t="shared" si="77"/>
        <v>1</v>
      </c>
      <c r="M989">
        <f t="shared" si="78"/>
        <v>1</v>
      </c>
      <c r="N989" s="6">
        <f t="shared" si="79"/>
        <v>45658</v>
      </c>
    </row>
    <row r="990" spans="1:14" x14ac:dyDescent="0.3">
      <c r="A990">
        <v>13</v>
      </c>
      <c r="B990">
        <v>10023</v>
      </c>
      <c r="C990" t="s">
        <v>36</v>
      </c>
      <c r="D990" t="s">
        <v>29</v>
      </c>
      <c r="E990" t="s">
        <v>11</v>
      </c>
      <c r="F990" t="s">
        <v>17</v>
      </c>
      <c r="G990" t="s">
        <v>18</v>
      </c>
      <c r="H990">
        <v>1672.72</v>
      </c>
      <c r="I990">
        <v>0</v>
      </c>
      <c r="J990" t="str">
        <f t="shared" si="75"/>
        <v>High</v>
      </c>
      <c r="K990" t="str">
        <f t="shared" si="76"/>
        <v>Normal</v>
      </c>
      <c r="L990">
        <f t="shared" si="77"/>
        <v>1</v>
      </c>
      <c r="M990">
        <f t="shared" si="78"/>
        <v>1</v>
      </c>
      <c r="N990" s="6">
        <f t="shared" si="79"/>
        <v>45658</v>
      </c>
    </row>
    <row r="991" spans="1:14" x14ac:dyDescent="0.3">
      <c r="A991">
        <v>14</v>
      </c>
      <c r="B991">
        <v>10002</v>
      </c>
      <c r="C991" t="s">
        <v>37</v>
      </c>
      <c r="D991" t="s">
        <v>29</v>
      </c>
      <c r="E991" t="s">
        <v>16</v>
      </c>
      <c r="F991" t="s">
        <v>17</v>
      </c>
      <c r="G991" t="s">
        <v>13</v>
      </c>
      <c r="H991">
        <v>1813.26</v>
      </c>
      <c r="I991">
        <v>0</v>
      </c>
      <c r="J991" t="str">
        <f t="shared" si="75"/>
        <v>High</v>
      </c>
      <c r="K991" t="str">
        <f t="shared" si="76"/>
        <v>Normal</v>
      </c>
      <c r="L991">
        <f t="shared" si="77"/>
        <v>1</v>
      </c>
      <c r="M991">
        <f t="shared" si="78"/>
        <v>1</v>
      </c>
      <c r="N991" s="6">
        <f t="shared" si="79"/>
        <v>45658</v>
      </c>
    </row>
    <row r="992" spans="1:14" x14ac:dyDescent="0.3">
      <c r="A992">
        <v>15</v>
      </c>
      <c r="B992">
        <v>10021</v>
      </c>
      <c r="C992" t="s">
        <v>38</v>
      </c>
      <c r="D992" t="s">
        <v>15</v>
      </c>
      <c r="E992" t="s">
        <v>11</v>
      </c>
      <c r="F992" t="s">
        <v>17</v>
      </c>
      <c r="G992" t="s">
        <v>18</v>
      </c>
      <c r="H992">
        <v>91668.67</v>
      </c>
      <c r="I992">
        <v>1</v>
      </c>
      <c r="J992" t="str">
        <f t="shared" si="75"/>
        <v>High</v>
      </c>
      <c r="K992" t="str">
        <f t="shared" si="76"/>
        <v>High Risk</v>
      </c>
      <c r="L992">
        <f t="shared" si="77"/>
        <v>1</v>
      </c>
      <c r="M992">
        <f t="shared" si="78"/>
        <v>1</v>
      </c>
      <c r="N992" s="6">
        <f t="shared" si="79"/>
        <v>45658</v>
      </c>
    </row>
    <row r="993" spans="1:14" x14ac:dyDescent="0.3">
      <c r="A993">
        <v>16</v>
      </c>
      <c r="B993">
        <v>10052</v>
      </c>
      <c r="C993" t="s">
        <v>39</v>
      </c>
      <c r="D993" t="s">
        <v>15</v>
      </c>
      <c r="E993" t="s">
        <v>24</v>
      </c>
      <c r="F993" t="s">
        <v>17</v>
      </c>
      <c r="G993" t="s">
        <v>18</v>
      </c>
      <c r="H993">
        <v>70645.23</v>
      </c>
      <c r="I993">
        <v>0</v>
      </c>
      <c r="J993" t="str">
        <f t="shared" si="75"/>
        <v>High</v>
      </c>
      <c r="K993" t="str">
        <f t="shared" si="76"/>
        <v>Normal</v>
      </c>
      <c r="L993">
        <f t="shared" si="77"/>
        <v>1</v>
      </c>
      <c r="M993">
        <f t="shared" si="78"/>
        <v>1</v>
      </c>
      <c r="N993" s="6">
        <f t="shared" si="79"/>
        <v>45658</v>
      </c>
    </row>
    <row r="994" spans="1:14" x14ac:dyDescent="0.3">
      <c r="A994">
        <v>17</v>
      </c>
      <c r="B994">
        <v>10001</v>
      </c>
      <c r="C994" t="s">
        <v>40</v>
      </c>
      <c r="D994" t="s">
        <v>29</v>
      </c>
      <c r="E994" t="s">
        <v>11</v>
      </c>
      <c r="F994" t="s">
        <v>12</v>
      </c>
      <c r="G994" t="s">
        <v>21</v>
      </c>
      <c r="H994">
        <v>30964.7</v>
      </c>
      <c r="I994">
        <v>0</v>
      </c>
      <c r="J994" t="str">
        <f t="shared" si="75"/>
        <v>High</v>
      </c>
      <c r="K994" t="str">
        <f t="shared" si="76"/>
        <v>Normal</v>
      </c>
      <c r="L994">
        <f t="shared" si="77"/>
        <v>1</v>
      </c>
      <c r="M994">
        <f t="shared" si="78"/>
        <v>1</v>
      </c>
      <c r="N994" s="6">
        <f t="shared" si="79"/>
        <v>45658</v>
      </c>
    </row>
    <row r="995" spans="1:14" x14ac:dyDescent="0.3">
      <c r="A995">
        <v>18</v>
      </c>
      <c r="B995">
        <v>10087</v>
      </c>
      <c r="C995" t="s">
        <v>41</v>
      </c>
      <c r="D995" t="s">
        <v>29</v>
      </c>
      <c r="E995" t="s">
        <v>11</v>
      </c>
      <c r="F995" t="s">
        <v>17</v>
      </c>
      <c r="G995" t="s">
        <v>31</v>
      </c>
      <c r="H995">
        <v>13351.19</v>
      </c>
      <c r="I995">
        <v>0</v>
      </c>
      <c r="J995" t="str">
        <f t="shared" si="75"/>
        <v>High</v>
      </c>
      <c r="K995" t="str">
        <f t="shared" si="76"/>
        <v>Normal</v>
      </c>
      <c r="L995">
        <f t="shared" si="77"/>
        <v>1</v>
      </c>
      <c r="M995">
        <f t="shared" si="78"/>
        <v>1</v>
      </c>
      <c r="N995" s="6">
        <f t="shared" si="79"/>
        <v>45658</v>
      </c>
    </row>
    <row r="996" spans="1:14" x14ac:dyDescent="0.3">
      <c r="A996">
        <v>19</v>
      </c>
      <c r="B996">
        <v>10029</v>
      </c>
      <c r="C996" t="s">
        <v>42</v>
      </c>
      <c r="D996" t="s">
        <v>20</v>
      </c>
      <c r="E996" t="s">
        <v>16</v>
      </c>
      <c r="F996" t="s">
        <v>12</v>
      </c>
      <c r="G996" t="s">
        <v>13</v>
      </c>
      <c r="H996">
        <v>51212.41</v>
      </c>
      <c r="I996">
        <v>0</v>
      </c>
      <c r="J996" t="str">
        <f t="shared" si="75"/>
        <v>High</v>
      </c>
      <c r="K996" t="str">
        <f t="shared" si="76"/>
        <v>Normal</v>
      </c>
      <c r="L996">
        <f t="shared" si="77"/>
        <v>1</v>
      </c>
      <c r="M996">
        <f t="shared" si="78"/>
        <v>1</v>
      </c>
      <c r="N996" s="6">
        <f t="shared" si="79"/>
        <v>45658</v>
      </c>
    </row>
    <row r="997" spans="1:14" x14ac:dyDescent="0.3">
      <c r="A997">
        <v>20</v>
      </c>
      <c r="B997">
        <v>10037</v>
      </c>
      <c r="C997" t="s">
        <v>43</v>
      </c>
      <c r="D997" t="s">
        <v>23</v>
      </c>
      <c r="E997" t="s">
        <v>16</v>
      </c>
      <c r="F997" t="s">
        <v>12</v>
      </c>
      <c r="G997" t="s">
        <v>21</v>
      </c>
      <c r="H997">
        <v>634.08000000000004</v>
      </c>
      <c r="I997">
        <v>0</v>
      </c>
      <c r="J997" t="str">
        <f t="shared" si="75"/>
        <v>High</v>
      </c>
      <c r="K997" t="str">
        <f t="shared" si="76"/>
        <v>Normal</v>
      </c>
      <c r="L997">
        <f t="shared" si="77"/>
        <v>1</v>
      </c>
      <c r="M997">
        <f t="shared" si="78"/>
        <v>1</v>
      </c>
      <c r="N997" s="6">
        <f t="shared" si="79"/>
        <v>45658</v>
      </c>
    </row>
    <row r="998" spans="1:14" x14ac:dyDescent="0.3">
      <c r="A998">
        <v>21</v>
      </c>
      <c r="B998">
        <v>10001</v>
      </c>
      <c r="C998" t="s">
        <v>44</v>
      </c>
      <c r="D998" t="s">
        <v>15</v>
      </c>
      <c r="E998" t="s">
        <v>24</v>
      </c>
      <c r="F998" t="s">
        <v>12</v>
      </c>
      <c r="G998" t="s">
        <v>31</v>
      </c>
      <c r="H998">
        <v>93847.53</v>
      </c>
      <c r="I998">
        <v>0</v>
      </c>
      <c r="J998" t="str">
        <f t="shared" si="75"/>
        <v>High</v>
      </c>
      <c r="K998" t="str">
        <f t="shared" si="76"/>
        <v>Normal</v>
      </c>
      <c r="L998">
        <f t="shared" si="77"/>
        <v>1</v>
      </c>
      <c r="M998">
        <f t="shared" si="78"/>
        <v>1</v>
      </c>
      <c r="N998" s="6">
        <f t="shared" si="79"/>
        <v>45658</v>
      </c>
    </row>
    <row r="999" spans="1:14" x14ac:dyDescent="0.3">
      <c r="A999">
        <v>22</v>
      </c>
      <c r="B999">
        <v>10063</v>
      </c>
      <c r="C999" t="s">
        <v>45</v>
      </c>
      <c r="D999" t="s">
        <v>23</v>
      </c>
      <c r="E999" t="s">
        <v>11</v>
      </c>
      <c r="F999" t="s">
        <v>12</v>
      </c>
      <c r="G999" t="s">
        <v>21</v>
      </c>
      <c r="H999">
        <v>41540.03</v>
      </c>
      <c r="I999">
        <v>0</v>
      </c>
      <c r="J999" t="str">
        <f t="shared" si="75"/>
        <v>High</v>
      </c>
      <c r="K999" t="str">
        <f t="shared" si="76"/>
        <v>Normal</v>
      </c>
      <c r="L999">
        <f t="shared" si="77"/>
        <v>1</v>
      </c>
      <c r="M999">
        <f t="shared" si="78"/>
        <v>1</v>
      </c>
      <c r="N999" s="6">
        <f t="shared" si="79"/>
        <v>45658</v>
      </c>
    </row>
    <row r="1000" spans="1:14" x14ac:dyDescent="0.3">
      <c r="A1000">
        <v>23</v>
      </c>
      <c r="B1000">
        <v>10059</v>
      </c>
      <c r="C1000" t="s">
        <v>46</v>
      </c>
      <c r="D1000" t="s">
        <v>23</v>
      </c>
      <c r="E1000" t="s">
        <v>11</v>
      </c>
      <c r="F1000" t="s">
        <v>12</v>
      </c>
      <c r="G1000" t="s">
        <v>21</v>
      </c>
      <c r="H1000">
        <v>40293.26</v>
      </c>
      <c r="I1000">
        <v>0</v>
      </c>
      <c r="J1000" t="str">
        <f t="shared" si="75"/>
        <v>High</v>
      </c>
      <c r="K1000" t="str">
        <f t="shared" si="76"/>
        <v>Normal</v>
      </c>
      <c r="L1000">
        <f t="shared" si="77"/>
        <v>1</v>
      </c>
      <c r="M1000">
        <f t="shared" si="78"/>
        <v>1</v>
      </c>
      <c r="N1000" s="6">
        <f t="shared" si="79"/>
        <v>45658</v>
      </c>
    </row>
    <row r="1001" spans="1:14" x14ac:dyDescent="0.3">
      <c r="A1001">
        <v>24</v>
      </c>
      <c r="B1001">
        <v>10020</v>
      </c>
      <c r="C1001" t="s">
        <v>47</v>
      </c>
      <c r="D1001" t="s">
        <v>29</v>
      </c>
      <c r="E1001" t="s">
        <v>11</v>
      </c>
      <c r="F1001" t="s">
        <v>17</v>
      </c>
      <c r="G1001" t="s">
        <v>18</v>
      </c>
      <c r="H1001">
        <v>39120.300000000003</v>
      </c>
      <c r="I1001">
        <v>0</v>
      </c>
      <c r="J1001" t="str">
        <f t="shared" si="75"/>
        <v>High</v>
      </c>
      <c r="K1001" t="str">
        <f t="shared" si="76"/>
        <v>Normal</v>
      </c>
      <c r="L1001">
        <f t="shared" si="77"/>
        <v>1</v>
      </c>
      <c r="M1001">
        <f t="shared" si="78"/>
        <v>1</v>
      </c>
      <c r="N1001" s="6">
        <f t="shared" si="79"/>
        <v>45658</v>
      </c>
    </row>
  </sheetData>
  <phoneticPr fontId="3"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D7D94-216C-4C60-9B27-F244C3FE3535}">
  <dimension ref="A1:N1001"/>
  <sheetViews>
    <sheetView topLeftCell="B1" workbookViewId="0">
      <selection activeCell="K1" sqref="K1:K1001"/>
    </sheetView>
  </sheetViews>
  <sheetFormatPr defaultRowHeight="14.4" x14ac:dyDescent="0.3"/>
  <cols>
    <col min="1" max="1" width="15.44140625" customWidth="1"/>
    <col min="2" max="2" width="13.77734375" customWidth="1"/>
    <col min="3" max="3" width="13.44140625" customWidth="1"/>
    <col min="4" max="4" width="10.109375" customWidth="1"/>
    <col min="5" max="5" width="17.77734375" customWidth="1"/>
    <col min="6" max="6" width="11.88671875" customWidth="1"/>
    <col min="7" max="7" width="19.6640625" customWidth="1"/>
    <col min="8" max="8" width="12.21875" customWidth="1"/>
    <col min="9" max="9" width="13.109375" customWidth="1"/>
    <col min="13" max="13" width="10.77734375" customWidth="1"/>
    <col min="14" max="14" width="25.21875" style="6" bestFit="1" customWidth="1"/>
  </cols>
  <sheetData>
    <row r="1" spans="1:14" x14ac:dyDescent="0.3">
      <c r="A1" s="1" t="s">
        <v>0</v>
      </c>
      <c r="B1" s="1" t="s">
        <v>1</v>
      </c>
      <c r="C1" s="1" t="s">
        <v>2</v>
      </c>
      <c r="D1" s="1" t="s">
        <v>3</v>
      </c>
      <c r="E1" s="1" t="s">
        <v>4</v>
      </c>
      <c r="F1" s="1" t="s">
        <v>5</v>
      </c>
      <c r="G1" s="1" t="s">
        <v>6</v>
      </c>
      <c r="H1" s="1" t="s">
        <v>7</v>
      </c>
      <c r="I1" s="1" t="s">
        <v>8</v>
      </c>
      <c r="J1" s="2" t="s">
        <v>1027</v>
      </c>
      <c r="K1" s="2" t="s">
        <v>1024</v>
      </c>
      <c r="L1" s="2" t="s">
        <v>1025</v>
      </c>
      <c r="M1" s="2" t="s">
        <v>1026</v>
      </c>
      <c r="N1" s="5" t="s">
        <v>1034</v>
      </c>
    </row>
    <row r="2" spans="1:14" x14ac:dyDescent="0.3">
      <c r="A2">
        <v>985</v>
      </c>
      <c r="B2">
        <v>10056</v>
      </c>
      <c r="C2" t="s">
        <v>1008</v>
      </c>
      <c r="D2" t="s">
        <v>15</v>
      </c>
      <c r="E2" t="s">
        <v>11</v>
      </c>
      <c r="F2" t="s">
        <v>17</v>
      </c>
      <c r="G2" t="s">
        <v>13</v>
      </c>
      <c r="H2">
        <v>90286.1</v>
      </c>
      <c r="I2">
        <v>1</v>
      </c>
      <c r="J2" t="str">
        <f t="shared" ref="J2:J65" si="0">IF(E2&gt;50000,"High","Normal")</f>
        <v>High</v>
      </c>
      <c r="K2" t="str">
        <f t="shared" ref="K2:K65" si="1">IF(AND(H2&gt;50000,E2="Online"),"High Risk","Normal")</f>
        <v>High Risk</v>
      </c>
      <c r="L2">
        <f t="shared" ref="L2:L65" si="2">COUNTIFS(C:C,C2,B:B,B2)</f>
        <v>1</v>
      </c>
      <c r="M2">
        <f t="shared" ref="M2:M65" si="3">IF(E2&gt;50000,1,0) + IF(H2="Unusual",1,0) + IF(I2&gt;3,1,0)</f>
        <v>1</v>
      </c>
      <c r="N2" s="6">
        <f t="shared" ref="N2:N65" si="4">INT(C2)</f>
        <v>45699</v>
      </c>
    </row>
    <row r="3" spans="1:14" x14ac:dyDescent="0.3">
      <c r="A3">
        <v>986</v>
      </c>
      <c r="B3">
        <v>10016</v>
      </c>
      <c r="C3" t="s">
        <v>1009</v>
      </c>
      <c r="D3" t="s">
        <v>23</v>
      </c>
      <c r="E3" t="s">
        <v>24</v>
      </c>
      <c r="F3" t="s">
        <v>17</v>
      </c>
      <c r="G3" t="s">
        <v>18</v>
      </c>
      <c r="H3">
        <v>52537.51</v>
      </c>
      <c r="I3">
        <v>0</v>
      </c>
      <c r="J3" t="str">
        <f t="shared" si="0"/>
        <v>High</v>
      </c>
      <c r="K3" t="str">
        <f t="shared" si="1"/>
        <v>Normal</v>
      </c>
      <c r="L3">
        <f t="shared" si="2"/>
        <v>1</v>
      </c>
      <c r="M3">
        <f t="shared" si="3"/>
        <v>1</v>
      </c>
      <c r="N3" s="6">
        <f t="shared" si="4"/>
        <v>45699</v>
      </c>
    </row>
    <row r="4" spans="1:14" x14ac:dyDescent="0.3">
      <c r="A4">
        <v>987</v>
      </c>
      <c r="B4">
        <v>10085</v>
      </c>
      <c r="C4" t="s">
        <v>1010</v>
      </c>
      <c r="D4" t="s">
        <v>10</v>
      </c>
      <c r="E4" t="s">
        <v>24</v>
      </c>
      <c r="F4" t="s">
        <v>12</v>
      </c>
      <c r="G4" t="s">
        <v>18</v>
      </c>
      <c r="H4">
        <v>45174.2</v>
      </c>
      <c r="I4">
        <v>0</v>
      </c>
      <c r="J4" t="str">
        <f t="shared" si="0"/>
        <v>High</v>
      </c>
      <c r="K4" t="str">
        <f t="shared" si="1"/>
        <v>Normal</v>
      </c>
      <c r="L4">
        <f t="shared" si="2"/>
        <v>1</v>
      </c>
      <c r="M4">
        <f t="shared" si="3"/>
        <v>1</v>
      </c>
      <c r="N4" s="6">
        <f t="shared" si="4"/>
        <v>45699</v>
      </c>
    </row>
    <row r="5" spans="1:14" x14ac:dyDescent="0.3">
      <c r="A5">
        <v>988</v>
      </c>
      <c r="B5">
        <v>10089</v>
      </c>
      <c r="C5" t="s">
        <v>1011</v>
      </c>
      <c r="D5" t="s">
        <v>20</v>
      </c>
      <c r="E5" t="s">
        <v>24</v>
      </c>
      <c r="F5" t="s">
        <v>12</v>
      </c>
      <c r="G5" t="s">
        <v>25</v>
      </c>
      <c r="H5">
        <v>33106.11</v>
      </c>
      <c r="I5">
        <v>0</v>
      </c>
      <c r="J5" t="str">
        <f t="shared" si="0"/>
        <v>High</v>
      </c>
      <c r="K5" t="str">
        <f t="shared" si="1"/>
        <v>Normal</v>
      </c>
      <c r="L5">
        <f t="shared" si="2"/>
        <v>1</v>
      </c>
      <c r="M5">
        <f t="shared" si="3"/>
        <v>1</v>
      </c>
      <c r="N5" s="6">
        <f t="shared" si="4"/>
        <v>45699</v>
      </c>
    </row>
    <row r="6" spans="1:14" x14ac:dyDescent="0.3">
      <c r="A6">
        <v>989</v>
      </c>
      <c r="B6">
        <v>10043</v>
      </c>
      <c r="C6" t="s">
        <v>1012</v>
      </c>
      <c r="D6" t="s">
        <v>20</v>
      </c>
      <c r="E6" t="s">
        <v>24</v>
      </c>
      <c r="F6" t="s">
        <v>12</v>
      </c>
      <c r="G6" t="s">
        <v>25</v>
      </c>
      <c r="H6">
        <v>58962.54</v>
      </c>
      <c r="I6">
        <v>0</v>
      </c>
      <c r="J6" t="str">
        <f t="shared" si="0"/>
        <v>High</v>
      </c>
      <c r="K6" t="str">
        <f t="shared" si="1"/>
        <v>Normal</v>
      </c>
      <c r="L6">
        <f t="shared" si="2"/>
        <v>1</v>
      </c>
      <c r="M6">
        <f t="shared" si="3"/>
        <v>1</v>
      </c>
      <c r="N6" s="6">
        <f t="shared" si="4"/>
        <v>45699</v>
      </c>
    </row>
    <row r="7" spans="1:14" x14ac:dyDescent="0.3">
      <c r="A7">
        <v>990</v>
      </c>
      <c r="B7">
        <v>10024</v>
      </c>
      <c r="C7" t="s">
        <v>1013</v>
      </c>
      <c r="D7" t="s">
        <v>29</v>
      </c>
      <c r="E7" t="s">
        <v>16</v>
      </c>
      <c r="F7" t="s">
        <v>12</v>
      </c>
      <c r="G7" t="s">
        <v>13</v>
      </c>
      <c r="H7">
        <v>45482.41</v>
      </c>
      <c r="I7">
        <v>0</v>
      </c>
      <c r="J7" t="str">
        <f t="shared" si="0"/>
        <v>High</v>
      </c>
      <c r="K7" t="str">
        <f t="shared" si="1"/>
        <v>Normal</v>
      </c>
      <c r="L7">
        <f t="shared" si="2"/>
        <v>1</v>
      </c>
      <c r="M7">
        <f t="shared" si="3"/>
        <v>1</v>
      </c>
      <c r="N7" s="6">
        <f t="shared" si="4"/>
        <v>45699</v>
      </c>
    </row>
    <row r="8" spans="1:14" x14ac:dyDescent="0.3">
      <c r="A8">
        <v>991</v>
      </c>
      <c r="B8">
        <v>10016</v>
      </c>
      <c r="C8" t="s">
        <v>1014</v>
      </c>
      <c r="D8" t="s">
        <v>20</v>
      </c>
      <c r="E8" t="s">
        <v>11</v>
      </c>
      <c r="F8" t="s">
        <v>12</v>
      </c>
      <c r="G8" t="s">
        <v>21</v>
      </c>
      <c r="H8">
        <v>45211.4</v>
      </c>
      <c r="I8">
        <v>0</v>
      </c>
      <c r="J8" t="str">
        <f t="shared" si="0"/>
        <v>High</v>
      </c>
      <c r="K8" t="str">
        <f t="shared" si="1"/>
        <v>Normal</v>
      </c>
      <c r="L8">
        <f t="shared" si="2"/>
        <v>1</v>
      </c>
      <c r="M8">
        <f t="shared" si="3"/>
        <v>1</v>
      </c>
      <c r="N8" s="6">
        <f t="shared" si="4"/>
        <v>45699</v>
      </c>
    </row>
    <row r="9" spans="1:14" x14ac:dyDescent="0.3">
      <c r="A9">
        <v>992</v>
      </c>
      <c r="B9">
        <v>10012</v>
      </c>
      <c r="C9" t="s">
        <v>1015</v>
      </c>
      <c r="D9" t="s">
        <v>10</v>
      </c>
      <c r="E9" t="s">
        <v>16</v>
      </c>
      <c r="F9" t="s">
        <v>17</v>
      </c>
      <c r="G9" t="s">
        <v>18</v>
      </c>
      <c r="H9">
        <v>93699.09</v>
      </c>
      <c r="I9">
        <v>0</v>
      </c>
      <c r="J9" t="str">
        <f t="shared" si="0"/>
        <v>High</v>
      </c>
      <c r="K9" t="str">
        <f t="shared" si="1"/>
        <v>Normal</v>
      </c>
      <c r="L9">
        <f t="shared" si="2"/>
        <v>1</v>
      </c>
      <c r="M9">
        <f t="shared" si="3"/>
        <v>1</v>
      </c>
      <c r="N9" s="6">
        <f t="shared" si="4"/>
        <v>45699</v>
      </c>
    </row>
    <row r="10" spans="1:14" x14ac:dyDescent="0.3">
      <c r="A10">
        <v>993</v>
      </c>
      <c r="B10">
        <v>10083</v>
      </c>
      <c r="C10" t="s">
        <v>1016</v>
      </c>
      <c r="D10" t="s">
        <v>10</v>
      </c>
      <c r="E10" t="s">
        <v>24</v>
      </c>
      <c r="F10" t="s">
        <v>17</v>
      </c>
      <c r="G10" t="s">
        <v>13</v>
      </c>
      <c r="H10">
        <v>98404.75</v>
      </c>
      <c r="I10">
        <v>0</v>
      </c>
      <c r="J10" t="str">
        <f t="shared" si="0"/>
        <v>High</v>
      </c>
      <c r="K10" t="str">
        <f t="shared" si="1"/>
        <v>Normal</v>
      </c>
      <c r="L10">
        <f t="shared" si="2"/>
        <v>1</v>
      </c>
      <c r="M10">
        <f t="shared" si="3"/>
        <v>1</v>
      </c>
      <c r="N10" s="6">
        <f t="shared" si="4"/>
        <v>45699</v>
      </c>
    </row>
    <row r="11" spans="1:14" x14ac:dyDescent="0.3">
      <c r="A11">
        <v>994</v>
      </c>
      <c r="B11">
        <v>10024</v>
      </c>
      <c r="C11" t="s">
        <v>1017</v>
      </c>
      <c r="D11" t="s">
        <v>20</v>
      </c>
      <c r="E11" t="s">
        <v>16</v>
      </c>
      <c r="F11" t="s">
        <v>17</v>
      </c>
      <c r="G11" t="s">
        <v>31</v>
      </c>
      <c r="H11">
        <v>79668.789999999994</v>
      </c>
      <c r="I11">
        <v>0</v>
      </c>
      <c r="J11" t="str">
        <f t="shared" si="0"/>
        <v>High</v>
      </c>
      <c r="K11" t="str">
        <f t="shared" si="1"/>
        <v>Normal</v>
      </c>
      <c r="L11">
        <f t="shared" si="2"/>
        <v>1</v>
      </c>
      <c r="M11">
        <f t="shared" si="3"/>
        <v>1</v>
      </c>
      <c r="N11" s="6">
        <f t="shared" si="4"/>
        <v>45699</v>
      </c>
    </row>
    <row r="12" spans="1:14" x14ac:dyDescent="0.3">
      <c r="A12">
        <v>995</v>
      </c>
      <c r="B12">
        <v>10067</v>
      </c>
      <c r="C12" t="s">
        <v>1018</v>
      </c>
      <c r="D12" t="s">
        <v>10</v>
      </c>
      <c r="E12" t="s">
        <v>11</v>
      </c>
      <c r="F12" t="s">
        <v>17</v>
      </c>
      <c r="G12" t="s">
        <v>31</v>
      </c>
      <c r="H12">
        <v>75700.13</v>
      </c>
      <c r="I12">
        <v>1</v>
      </c>
      <c r="J12" t="str">
        <f t="shared" si="0"/>
        <v>High</v>
      </c>
      <c r="K12" t="str">
        <f t="shared" si="1"/>
        <v>High Risk</v>
      </c>
      <c r="L12">
        <f t="shared" si="2"/>
        <v>1</v>
      </c>
      <c r="M12">
        <f t="shared" si="3"/>
        <v>1</v>
      </c>
      <c r="N12" s="6">
        <f t="shared" si="4"/>
        <v>45699</v>
      </c>
    </row>
    <row r="13" spans="1:14" x14ac:dyDescent="0.3">
      <c r="A13">
        <v>996</v>
      </c>
      <c r="B13">
        <v>10009</v>
      </c>
      <c r="C13" t="s">
        <v>1019</v>
      </c>
      <c r="D13" t="s">
        <v>29</v>
      </c>
      <c r="E13" t="s">
        <v>16</v>
      </c>
      <c r="F13" t="s">
        <v>17</v>
      </c>
      <c r="G13" t="s">
        <v>13</v>
      </c>
      <c r="H13">
        <v>68087.759999999995</v>
      </c>
      <c r="I13">
        <v>0</v>
      </c>
      <c r="J13" t="str">
        <f t="shared" si="0"/>
        <v>High</v>
      </c>
      <c r="K13" t="str">
        <f t="shared" si="1"/>
        <v>Normal</v>
      </c>
      <c r="L13">
        <f t="shared" si="2"/>
        <v>1</v>
      </c>
      <c r="M13">
        <f t="shared" si="3"/>
        <v>1</v>
      </c>
      <c r="N13" s="6">
        <f t="shared" si="4"/>
        <v>45699</v>
      </c>
    </row>
    <row r="14" spans="1:14" x14ac:dyDescent="0.3">
      <c r="A14">
        <v>997</v>
      </c>
      <c r="B14">
        <v>10066</v>
      </c>
      <c r="C14" t="s">
        <v>1020</v>
      </c>
      <c r="D14" t="s">
        <v>15</v>
      </c>
      <c r="E14" t="s">
        <v>11</v>
      </c>
      <c r="F14" t="s">
        <v>12</v>
      </c>
      <c r="G14" t="s">
        <v>18</v>
      </c>
      <c r="H14">
        <v>16690.88</v>
      </c>
      <c r="I14">
        <v>0</v>
      </c>
      <c r="J14" t="str">
        <f t="shared" si="0"/>
        <v>High</v>
      </c>
      <c r="K14" t="str">
        <f t="shared" si="1"/>
        <v>Normal</v>
      </c>
      <c r="L14">
        <f t="shared" si="2"/>
        <v>1</v>
      </c>
      <c r="M14">
        <f t="shared" si="3"/>
        <v>1</v>
      </c>
      <c r="N14" s="6">
        <f t="shared" si="4"/>
        <v>45699</v>
      </c>
    </row>
    <row r="15" spans="1:14" x14ac:dyDescent="0.3">
      <c r="A15">
        <v>998</v>
      </c>
      <c r="B15">
        <v>10017</v>
      </c>
      <c r="C15" t="s">
        <v>1021</v>
      </c>
      <c r="D15" t="s">
        <v>29</v>
      </c>
      <c r="E15" t="s">
        <v>16</v>
      </c>
      <c r="F15" t="s">
        <v>12</v>
      </c>
      <c r="G15" t="s">
        <v>13</v>
      </c>
      <c r="H15">
        <v>6004.67</v>
      </c>
      <c r="I15">
        <v>0</v>
      </c>
      <c r="J15" t="str">
        <f t="shared" si="0"/>
        <v>High</v>
      </c>
      <c r="K15" t="str">
        <f t="shared" si="1"/>
        <v>Normal</v>
      </c>
      <c r="L15">
        <f t="shared" si="2"/>
        <v>1</v>
      </c>
      <c r="M15">
        <f t="shared" si="3"/>
        <v>1</v>
      </c>
      <c r="N15" s="6">
        <f t="shared" si="4"/>
        <v>45699</v>
      </c>
    </row>
    <row r="16" spans="1:14" x14ac:dyDescent="0.3">
      <c r="A16">
        <v>999</v>
      </c>
      <c r="B16">
        <v>10099</v>
      </c>
      <c r="C16" t="s">
        <v>1022</v>
      </c>
      <c r="D16" t="s">
        <v>29</v>
      </c>
      <c r="E16" t="s">
        <v>11</v>
      </c>
      <c r="F16" t="s">
        <v>12</v>
      </c>
      <c r="G16" t="s">
        <v>18</v>
      </c>
      <c r="H16">
        <v>69103.56</v>
      </c>
      <c r="I16">
        <v>1</v>
      </c>
      <c r="J16" t="str">
        <f t="shared" si="0"/>
        <v>High</v>
      </c>
      <c r="K16" t="str">
        <f t="shared" si="1"/>
        <v>High Risk</v>
      </c>
      <c r="L16">
        <f t="shared" si="2"/>
        <v>1</v>
      </c>
      <c r="M16">
        <f t="shared" si="3"/>
        <v>1</v>
      </c>
      <c r="N16" s="6">
        <f t="shared" si="4"/>
        <v>45699</v>
      </c>
    </row>
    <row r="17" spans="1:14" x14ac:dyDescent="0.3">
      <c r="A17">
        <v>1000</v>
      </c>
      <c r="B17">
        <v>10085</v>
      </c>
      <c r="C17" t="s">
        <v>1023</v>
      </c>
      <c r="D17" t="s">
        <v>10</v>
      </c>
      <c r="E17" t="s">
        <v>11</v>
      </c>
      <c r="F17" t="s">
        <v>12</v>
      </c>
      <c r="G17" t="s">
        <v>25</v>
      </c>
      <c r="H17">
        <v>72905.740000000005</v>
      </c>
      <c r="I17">
        <v>1</v>
      </c>
      <c r="J17" t="str">
        <f t="shared" si="0"/>
        <v>High</v>
      </c>
      <c r="K17" t="str">
        <f t="shared" si="1"/>
        <v>High Risk</v>
      </c>
      <c r="L17">
        <f t="shared" si="2"/>
        <v>1</v>
      </c>
      <c r="M17">
        <f t="shared" si="3"/>
        <v>1</v>
      </c>
      <c r="N17" s="6">
        <f t="shared" si="4"/>
        <v>45699</v>
      </c>
    </row>
    <row r="18" spans="1:14" x14ac:dyDescent="0.3">
      <c r="A18">
        <v>961</v>
      </c>
      <c r="B18">
        <v>10085</v>
      </c>
      <c r="C18" t="s">
        <v>984</v>
      </c>
      <c r="D18" t="s">
        <v>29</v>
      </c>
      <c r="E18" t="s">
        <v>11</v>
      </c>
      <c r="F18" t="s">
        <v>17</v>
      </c>
      <c r="G18" t="s">
        <v>18</v>
      </c>
      <c r="H18">
        <v>62570.46</v>
      </c>
      <c r="I18">
        <v>1</v>
      </c>
      <c r="J18" t="str">
        <f t="shared" si="0"/>
        <v>High</v>
      </c>
      <c r="K18" t="str">
        <f t="shared" si="1"/>
        <v>High Risk</v>
      </c>
      <c r="L18">
        <f t="shared" si="2"/>
        <v>1</v>
      </c>
      <c r="M18">
        <f t="shared" si="3"/>
        <v>1</v>
      </c>
      <c r="N18" s="6">
        <f t="shared" si="4"/>
        <v>45698</v>
      </c>
    </row>
    <row r="19" spans="1:14" x14ac:dyDescent="0.3">
      <c r="A19">
        <v>962</v>
      </c>
      <c r="B19">
        <v>10013</v>
      </c>
      <c r="C19" t="s">
        <v>985</v>
      </c>
      <c r="D19" t="s">
        <v>20</v>
      </c>
      <c r="E19" t="s">
        <v>11</v>
      </c>
      <c r="F19" t="s">
        <v>12</v>
      </c>
      <c r="G19" t="s">
        <v>25</v>
      </c>
      <c r="H19">
        <v>1332.87</v>
      </c>
      <c r="I19">
        <v>0</v>
      </c>
      <c r="J19" t="str">
        <f t="shared" si="0"/>
        <v>High</v>
      </c>
      <c r="K19" t="str">
        <f t="shared" si="1"/>
        <v>Normal</v>
      </c>
      <c r="L19">
        <f t="shared" si="2"/>
        <v>1</v>
      </c>
      <c r="M19">
        <f t="shared" si="3"/>
        <v>1</v>
      </c>
      <c r="N19" s="6">
        <f t="shared" si="4"/>
        <v>45698</v>
      </c>
    </row>
    <row r="20" spans="1:14" x14ac:dyDescent="0.3">
      <c r="A20">
        <v>963</v>
      </c>
      <c r="B20">
        <v>10089</v>
      </c>
      <c r="C20" t="s">
        <v>986</v>
      </c>
      <c r="D20" t="s">
        <v>10</v>
      </c>
      <c r="E20" t="s">
        <v>16</v>
      </c>
      <c r="F20" t="s">
        <v>12</v>
      </c>
      <c r="G20" t="s">
        <v>18</v>
      </c>
      <c r="H20">
        <v>14381.79</v>
      </c>
      <c r="I20">
        <v>0</v>
      </c>
      <c r="J20" t="str">
        <f t="shared" si="0"/>
        <v>High</v>
      </c>
      <c r="K20" t="str">
        <f t="shared" si="1"/>
        <v>Normal</v>
      </c>
      <c r="L20">
        <f t="shared" si="2"/>
        <v>1</v>
      </c>
      <c r="M20">
        <f t="shared" si="3"/>
        <v>1</v>
      </c>
      <c r="N20" s="6">
        <f t="shared" si="4"/>
        <v>45698</v>
      </c>
    </row>
    <row r="21" spans="1:14" x14ac:dyDescent="0.3">
      <c r="A21">
        <v>964</v>
      </c>
      <c r="B21">
        <v>10027</v>
      </c>
      <c r="C21" t="s">
        <v>987</v>
      </c>
      <c r="D21" t="s">
        <v>29</v>
      </c>
      <c r="E21" t="s">
        <v>11</v>
      </c>
      <c r="F21" t="s">
        <v>12</v>
      </c>
      <c r="G21" t="s">
        <v>13</v>
      </c>
      <c r="H21">
        <v>74255.12</v>
      </c>
      <c r="I21">
        <v>1</v>
      </c>
      <c r="J21" t="str">
        <f t="shared" si="0"/>
        <v>High</v>
      </c>
      <c r="K21" t="str">
        <f t="shared" si="1"/>
        <v>High Risk</v>
      </c>
      <c r="L21">
        <f t="shared" si="2"/>
        <v>1</v>
      </c>
      <c r="M21">
        <f t="shared" si="3"/>
        <v>1</v>
      </c>
      <c r="N21" s="6">
        <f t="shared" si="4"/>
        <v>45698</v>
      </c>
    </row>
    <row r="22" spans="1:14" x14ac:dyDescent="0.3">
      <c r="A22">
        <v>965</v>
      </c>
      <c r="B22">
        <v>10086</v>
      </c>
      <c r="C22" t="s">
        <v>988</v>
      </c>
      <c r="D22" t="s">
        <v>15</v>
      </c>
      <c r="E22" t="s">
        <v>16</v>
      </c>
      <c r="F22" t="s">
        <v>12</v>
      </c>
      <c r="G22" t="s">
        <v>31</v>
      </c>
      <c r="H22">
        <v>24491.74</v>
      </c>
      <c r="I22">
        <v>0</v>
      </c>
      <c r="J22" t="str">
        <f t="shared" si="0"/>
        <v>High</v>
      </c>
      <c r="K22" t="str">
        <f t="shared" si="1"/>
        <v>Normal</v>
      </c>
      <c r="L22">
        <f t="shared" si="2"/>
        <v>1</v>
      </c>
      <c r="M22">
        <f t="shared" si="3"/>
        <v>1</v>
      </c>
      <c r="N22" s="6">
        <f t="shared" si="4"/>
        <v>45698</v>
      </c>
    </row>
    <row r="23" spans="1:14" x14ac:dyDescent="0.3">
      <c r="A23">
        <v>966</v>
      </c>
      <c r="B23">
        <v>10077</v>
      </c>
      <c r="C23" t="s">
        <v>989</v>
      </c>
      <c r="D23" t="s">
        <v>23</v>
      </c>
      <c r="E23" t="s">
        <v>16</v>
      </c>
      <c r="F23" t="s">
        <v>12</v>
      </c>
      <c r="G23" t="s">
        <v>25</v>
      </c>
      <c r="H23">
        <v>59841.11</v>
      </c>
      <c r="I23">
        <v>0</v>
      </c>
      <c r="J23" t="str">
        <f t="shared" si="0"/>
        <v>High</v>
      </c>
      <c r="K23" t="str">
        <f t="shared" si="1"/>
        <v>Normal</v>
      </c>
      <c r="L23">
        <f t="shared" si="2"/>
        <v>1</v>
      </c>
      <c r="M23">
        <f t="shared" si="3"/>
        <v>1</v>
      </c>
      <c r="N23" s="6">
        <f t="shared" si="4"/>
        <v>45698</v>
      </c>
    </row>
    <row r="24" spans="1:14" x14ac:dyDescent="0.3">
      <c r="A24">
        <v>967</v>
      </c>
      <c r="B24">
        <v>10087</v>
      </c>
      <c r="C24" t="s">
        <v>990</v>
      </c>
      <c r="D24" t="s">
        <v>29</v>
      </c>
      <c r="E24" t="s">
        <v>24</v>
      </c>
      <c r="F24" t="s">
        <v>17</v>
      </c>
      <c r="G24" t="s">
        <v>18</v>
      </c>
      <c r="H24">
        <v>38571.75</v>
      </c>
      <c r="I24">
        <v>0</v>
      </c>
      <c r="J24" t="str">
        <f t="shared" si="0"/>
        <v>High</v>
      </c>
      <c r="K24" t="str">
        <f t="shared" si="1"/>
        <v>Normal</v>
      </c>
      <c r="L24">
        <f t="shared" si="2"/>
        <v>1</v>
      </c>
      <c r="M24">
        <f t="shared" si="3"/>
        <v>1</v>
      </c>
      <c r="N24" s="6">
        <f t="shared" si="4"/>
        <v>45698</v>
      </c>
    </row>
    <row r="25" spans="1:14" x14ac:dyDescent="0.3">
      <c r="A25">
        <v>968</v>
      </c>
      <c r="B25">
        <v>10001</v>
      </c>
      <c r="C25" t="s">
        <v>991</v>
      </c>
      <c r="D25" t="s">
        <v>29</v>
      </c>
      <c r="E25" t="s">
        <v>24</v>
      </c>
      <c r="F25" t="s">
        <v>17</v>
      </c>
      <c r="G25" t="s">
        <v>31</v>
      </c>
      <c r="H25">
        <v>85495.1</v>
      </c>
      <c r="I25">
        <v>0</v>
      </c>
      <c r="J25" t="str">
        <f t="shared" si="0"/>
        <v>High</v>
      </c>
      <c r="K25" t="str">
        <f t="shared" si="1"/>
        <v>Normal</v>
      </c>
      <c r="L25">
        <f t="shared" si="2"/>
        <v>1</v>
      </c>
      <c r="M25">
        <f t="shared" si="3"/>
        <v>1</v>
      </c>
      <c r="N25" s="6">
        <f t="shared" si="4"/>
        <v>45698</v>
      </c>
    </row>
    <row r="26" spans="1:14" x14ac:dyDescent="0.3">
      <c r="A26">
        <v>969</v>
      </c>
      <c r="B26">
        <v>10025</v>
      </c>
      <c r="C26" t="s">
        <v>992</v>
      </c>
      <c r="D26" t="s">
        <v>23</v>
      </c>
      <c r="E26" t="s">
        <v>24</v>
      </c>
      <c r="F26" t="s">
        <v>12</v>
      </c>
      <c r="G26" t="s">
        <v>31</v>
      </c>
      <c r="H26">
        <v>95246.29</v>
      </c>
      <c r="I26">
        <v>0</v>
      </c>
      <c r="J26" t="str">
        <f t="shared" si="0"/>
        <v>High</v>
      </c>
      <c r="K26" t="str">
        <f t="shared" si="1"/>
        <v>Normal</v>
      </c>
      <c r="L26">
        <f t="shared" si="2"/>
        <v>1</v>
      </c>
      <c r="M26">
        <f t="shared" si="3"/>
        <v>1</v>
      </c>
      <c r="N26" s="6">
        <f t="shared" si="4"/>
        <v>45698</v>
      </c>
    </row>
    <row r="27" spans="1:14" x14ac:dyDescent="0.3">
      <c r="A27">
        <v>970</v>
      </c>
      <c r="B27">
        <v>10013</v>
      </c>
      <c r="C27" t="s">
        <v>993</v>
      </c>
      <c r="D27" t="s">
        <v>29</v>
      </c>
      <c r="E27" t="s">
        <v>24</v>
      </c>
      <c r="F27" t="s">
        <v>12</v>
      </c>
      <c r="G27" t="s">
        <v>25</v>
      </c>
      <c r="H27">
        <v>88368.12</v>
      </c>
      <c r="I27">
        <v>0</v>
      </c>
      <c r="J27" t="str">
        <f t="shared" si="0"/>
        <v>High</v>
      </c>
      <c r="K27" t="str">
        <f t="shared" si="1"/>
        <v>Normal</v>
      </c>
      <c r="L27">
        <f t="shared" si="2"/>
        <v>1</v>
      </c>
      <c r="M27">
        <f t="shared" si="3"/>
        <v>1</v>
      </c>
      <c r="N27" s="6">
        <f t="shared" si="4"/>
        <v>45698</v>
      </c>
    </row>
    <row r="28" spans="1:14" x14ac:dyDescent="0.3">
      <c r="A28">
        <v>971</v>
      </c>
      <c r="B28">
        <v>10058</v>
      </c>
      <c r="C28" t="s">
        <v>994</v>
      </c>
      <c r="D28" t="s">
        <v>15</v>
      </c>
      <c r="E28" t="s">
        <v>24</v>
      </c>
      <c r="F28" t="s">
        <v>12</v>
      </c>
      <c r="G28" t="s">
        <v>18</v>
      </c>
      <c r="H28">
        <v>27134.94</v>
      </c>
      <c r="I28">
        <v>0</v>
      </c>
      <c r="J28" t="str">
        <f t="shared" si="0"/>
        <v>High</v>
      </c>
      <c r="K28" t="str">
        <f t="shared" si="1"/>
        <v>Normal</v>
      </c>
      <c r="L28">
        <f t="shared" si="2"/>
        <v>1</v>
      </c>
      <c r="M28">
        <f t="shared" si="3"/>
        <v>1</v>
      </c>
      <c r="N28" s="6">
        <f t="shared" si="4"/>
        <v>45698</v>
      </c>
    </row>
    <row r="29" spans="1:14" x14ac:dyDescent="0.3">
      <c r="A29">
        <v>972</v>
      </c>
      <c r="B29">
        <v>10055</v>
      </c>
      <c r="C29" t="s">
        <v>995</v>
      </c>
      <c r="D29" t="s">
        <v>15</v>
      </c>
      <c r="E29" t="s">
        <v>16</v>
      </c>
      <c r="F29" t="s">
        <v>17</v>
      </c>
      <c r="G29" t="s">
        <v>31</v>
      </c>
      <c r="H29">
        <v>19496.87</v>
      </c>
      <c r="I29">
        <v>0</v>
      </c>
      <c r="J29" t="str">
        <f t="shared" si="0"/>
        <v>High</v>
      </c>
      <c r="K29" t="str">
        <f t="shared" si="1"/>
        <v>Normal</v>
      </c>
      <c r="L29">
        <f t="shared" si="2"/>
        <v>1</v>
      </c>
      <c r="M29">
        <f t="shared" si="3"/>
        <v>1</v>
      </c>
      <c r="N29" s="6">
        <f t="shared" si="4"/>
        <v>45698</v>
      </c>
    </row>
    <row r="30" spans="1:14" x14ac:dyDescent="0.3">
      <c r="A30">
        <v>973</v>
      </c>
      <c r="B30">
        <v>10006</v>
      </c>
      <c r="C30" t="s">
        <v>996</v>
      </c>
      <c r="D30" t="s">
        <v>23</v>
      </c>
      <c r="E30" t="s">
        <v>16</v>
      </c>
      <c r="F30" t="s">
        <v>12</v>
      </c>
      <c r="G30" t="s">
        <v>31</v>
      </c>
      <c r="H30">
        <v>47496.05</v>
      </c>
      <c r="I30">
        <v>0</v>
      </c>
      <c r="J30" t="str">
        <f t="shared" si="0"/>
        <v>High</v>
      </c>
      <c r="K30" t="str">
        <f t="shared" si="1"/>
        <v>Normal</v>
      </c>
      <c r="L30">
        <f t="shared" si="2"/>
        <v>1</v>
      </c>
      <c r="M30">
        <f t="shared" si="3"/>
        <v>1</v>
      </c>
      <c r="N30" s="6">
        <f t="shared" si="4"/>
        <v>45698</v>
      </c>
    </row>
    <row r="31" spans="1:14" x14ac:dyDescent="0.3">
      <c r="A31">
        <v>974</v>
      </c>
      <c r="B31">
        <v>10002</v>
      </c>
      <c r="C31" t="s">
        <v>997</v>
      </c>
      <c r="D31" t="s">
        <v>20</v>
      </c>
      <c r="E31" t="s">
        <v>11</v>
      </c>
      <c r="F31" t="s">
        <v>17</v>
      </c>
      <c r="G31" t="s">
        <v>21</v>
      </c>
      <c r="H31">
        <v>832.68</v>
      </c>
      <c r="I31">
        <v>0</v>
      </c>
      <c r="J31" t="str">
        <f t="shared" si="0"/>
        <v>High</v>
      </c>
      <c r="K31" t="str">
        <f t="shared" si="1"/>
        <v>Normal</v>
      </c>
      <c r="L31">
        <f t="shared" si="2"/>
        <v>1</v>
      </c>
      <c r="M31">
        <f t="shared" si="3"/>
        <v>1</v>
      </c>
      <c r="N31" s="6">
        <f t="shared" si="4"/>
        <v>45698</v>
      </c>
    </row>
    <row r="32" spans="1:14" x14ac:dyDescent="0.3">
      <c r="A32">
        <v>975</v>
      </c>
      <c r="B32">
        <v>10022</v>
      </c>
      <c r="C32" t="s">
        <v>998</v>
      </c>
      <c r="D32" t="s">
        <v>10</v>
      </c>
      <c r="E32" t="s">
        <v>16</v>
      </c>
      <c r="F32" t="s">
        <v>12</v>
      </c>
      <c r="G32" t="s">
        <v>31</v>
      </c>
      <c r="H32">
        <v>2678.36</v>
      </c>
      <c r="I32">
        <v>0</v>
      </c>
      <c r="J32" t="str">
        <f t="shared" si="0"/>
        <v>High</v>
      </c>
      <c r="K32" t="str">
        <f t="shared" si="1"/>
        <v>Normal</v>
      </c>
      <c r="L32">
        <f t="shared" si="2"/>
        <v>1</v>
      </c>
      <c r="M32">
        <f t="shared" si="3"/>
        <v>1</v>
      </c>
      <c r="N32" s="6">
        <f t="shared" si="4"/>
        <v>45698</v>
      </c>
    </row>
    <row r="33" spans="1:14" x14ac:dyDescent="0.3">
      <c r="A33">
        <v>976</v>
      </c>
      <c r="B33">
        <v>10017</v>
      </c>
      <c r="C33" t="s">
        <v>999</v>
      </c>
      <c r="D33" t="s">
        <v>20</v>
      </c>
      <c r="E33" t="s">
        <v>16</v>
      </c>
      <c r="F33" t="s">
        <v>17</v>
      </c>
      <c r="G33" t="s">
        <v>21</v>
      </c>
      <c r="H33">
        <v>55373.73</v>
      </c>
      <c r="I33">
        <v>0</v>
      </c>
      <c r="J33" t="str">
        <f t="shared" si="0"/>
        <v>High</v>
      </c>
      <c r="K33" t="str">
        <f t="shared" si="1"/>
        <v>Normal</v>
      </c>
      <c r="L33">
        <f t="shared" si="2"/>
        <v>1</v>
      </c>
      <c r="M33">
        <f t="shared" si="3"/>
        <v>1</v>
      </c>
      <c r="N33" s="6">
        <f t="shared" si="4"/>
        <v>45698</v>
      </c>
    </row>
    <row r="34" spans="1:14" x14ac:dyDescent="0.3">
      <c r="A34">
        <v>977</v>
      </c>
      <c r="B34">
        <v>10037</v>
      </c>
      <c r="C34" t="s">
        <v>1000</v>
      </c>
      <c r="D34" t="s">
        <v>29</v>
      </c>
      <c r="E34" t="s">
        <v>24</v>
      </c>
      <c r="F34" t="s">
        <v>12</v>
      </c>
      <c r="G34" t="s">
        <v>18</v>
      </c>
      <c r="H34">
        <v>52092.9</v>
      </c>
      <c r="I34">
        <v>0</v>
      </c>
      <c r="J34" t="str">
        <f t="shared" si="0"/>
        <v>High</v>
      </c>
      <c r="K34" t="str">
        <f t="shared" si="1"/>
        <v>Normal</v>
      </c>
      <c r="L34">
        <f t="shared" si="2"/>
        <v>1</v>
      </c>
      <c r="M34">
        <f t="shared" si="3"/>
        <v>1</v>
      </c>
      <c r="N34" s="6">
        <f t="shared" si="4"/>
        <v>45698</v>
      </c>
    </row>
    <row r="35" spans="1:14" x14ac:dyDescent="0.3">
      <c r="A35">
        <v>978</v>
      </c>
      <c r="B35">
        <v>10098</v>
      </c>
      <c r="C35" t="s">
        <v>1001</v>
      </c>
      <c r="D35" t="s">
        <v>10</v>
      </c>
      <c r="E35" t="s">
        <v>16</v>
      </c>
      <c r="F35" t="s">
        <v>17</v>
      </c>
      <c r="G35" t="s">
        <v>18</v>
      </c>
      <c r="H35">
        <v>99458.74</v>
      </c>
      <c r="I35">
        <v>0</v>
      </c>
      <c r="J35" t="str">
        <f t="shared" si="0"/>
        <v>High</v>
      </c>
      <c r="K35" t="str">
        <f t="shared" si="1"/>
        <v>Normal</v>
      </c>
      <c r="L35">
        <f t="shared" si="2"/>
        <v>1</v>
      </c>
      <c r="M35">
        <f t="shared" si="3"/>
        <v>1</v>
      </c>
      <c r="N35" s="6">
        <f t="shared" si="4"/>
        <v>45698</v>
      </c>
    </row>
    <row r="36" spans="1:14" x14ac:dyDescent="0.3">
      <c r="A36">
        <v>979</v>
      </c>
      <c r="B36">
        <v>10014</v>
      </c>
      <c r="C36" t="s">
        <v>1002</v>
      </c>
      <c r="D36" t="s">
        <v>23</v>
      </c>
      <c r="E36" t="s">
        <v>24</v>
      </c>
      <c r="F36" t="s">
        <v>12</v>
      </c>
      <c r="G36" t="s">
        <v>18</v>
      </c>
      <c r="H36">
        <v>20264</v>
      </c>
      <c r="I36">
        <v>0</v>
      </c>
      <c r="J36" t="str">
        <f t="shared" si="0"/>
        <v>High</v>
      </c>
      <c r="K36" t="str">
        <f t="shared" si="1"/>
        <v>Normal</v>
      </c>
      <c r="L36">
        <f t="shared" si="2"/>
        <v>1</v>
      </c>
      <c r="M36">
        <f t="shared" si="3"/>
        <v>1</v>
      </c>
      <c r="N36" s="6">
        <f t="shared" si="4"/>
        <v>45698</v>
      </c>
    </row>
    <row r="37" spans="1:14" x14ac:dyDescent="0.3">
      <c r="A37">
        <v>980</v>
      </c>
      <c r="B37">
        <v>10063</v>
      </c>
      <c r="C37" t="s">
        <v>1003</v>
      </c>
      <c r="D37" t="s">
        <v>23</v>
      </c>
      <c r="E37" t="s">
        <v>11</v>
      </c>
      <c r="F37" t="s">
        <v>17</v>
      </c>
      <c r="G37" t="s">
        <v>13</v>
      </c>
      <c r="H37">
        <v>25884.58</v>
      </c>
      <c r="I37">
        <v>0</v>
      </c>
      <c r="J37" t="str">
        <f t="shared" si="0"/>
        <v>High</v>
      </c>
      <c r="K37" t="str">
        <f t="shared" si="1"/>
        <v>Normal</v>
      </c>
      <c r="L37">
        <f t="shared" si="2"/>
        <v>1</v>
      </c>
      <c r="M37">
        <f t="shared" si="3"/>
        <v>1</v>
      </c>
      <c r="N37" s="6">
        <f t="shared" si="4"/>
        <v>45698</v>
      </c>
    </row>
    <row r="38" spans="1:14" x14ac:dyDescent="0.3">
      <c r="A38">
        <v>981</v>
      </c>
      <c r="B38">
        <v>10088</v>
      </c>
      <c r="C38" t="s">
        <v>1004</v>
      </c>
      <c r="D38" t="s">
        <v>10</v>
      </c>
      <c r="E38" t="s">
        <v>11</v>
      </c>
      <c r="F38" t="s">
        <v>17</v>
      </c>
      <c r="G38" t="s">
        <v>18</v>
      </c>
      <c r="H38">
        <v>11442.71</v>
      </c>
      <c r="I38">
        <v>0</v>
      </c>
      <c r="J38" t="str">
        <f t="shared" si="0"/>
        <v>High</v>
      </c>
      <c r="K38" t="str">
        <f t="shared" si="1"/>
        <v>Normal</v>
      </c>
      <c r="L38">
        <f t="shared" si="2"/>
        <v>1</v>
      </c>
      <c r="M38">
        <f t="shared" si="3"/>
        <v>1</v>
      </c>
      <c r="N38" s="6">
        <f t="shared" si="4"/>
        <v>45698</v>
      </c>
    </row>
    <row r="39" spans="1:14" x14ac:dyDescent="0.3">
      <c r="A39">
        <v>982</v>
      </c>
      <c r="B39">
        <v>10027</v>
      </c>
      <c r="C39" t="s">
        <v>1005</v>
      </c>
      <c r="D39" t="s">
        <v>15</v>
      </c>
      <c r="E39" t="s">
        <v>16</v>
      </c>
      <c r="F39" t="s">
        <v>17</v>
      </c>
      <c r="G39" t="s">
        <v>31</v>
      </c>
      <c r="H39">
        <v>91762.55</v>
      </c>
      <c r="I39">
        <v>0</v>
      </c>
      <c r="J39" t="str">
        <f t="shared" si="0"/>
        <v>High</v>
      </c>
      <c r="K39" t="str">
        <f t="shared" si="1"/>
        <v>Normal</v>
      </c>
      <c r="L39">
        <f t="shared" si="2"/>
        <v>1</v>
      </c>
      <c r="M39">
        <f t="shared" si="3"/>
        <v>1</v>
      </c>
      <c r="N39" s="6">
        <f t="shared" si="4"/>
        <v>45698</v>
      </c>
    </row>
    <row r="40" spans="1:14" x14ac:dyDescent="0.3">
      <c r="A40">
        <v>983</v>
      </c>
      <c r="B40">
        <v>10073</v>
      </c>
      <c r="C40" t="s">
        <v>1006</v>
      </c>
      <c r="D40" t="s">
        <v>10</v>
      </c>
      <c r="E40" t="s">
        <v>11</v>
      </c>
      <c r="F40" t="s">
        <v>17</v>
      </c>
      <c r="G40" t="s">
        <v>25</v>
      </c>
      <c r="H40">
        <v>77803.34</v>
      </c>
      <c r="I40">
        <v>1</v>
      </c>
      <c r="J40" t="str">
        <f t="shared" si="0"/>
        <v>High</v>
      </c>
      <c r="K40" t="str">
        <f t="shared" si="1"/>
        <v>High Risk</v>
      </c>
      <c r="L40">
        <f t="shared" si="2"/>
        <v>1</v>
      </c>
      <c r="M40">
        <f t="shared" si="3"/>
        <v>1</v>
      </c>
      <c r="N40" s="6">
        <f t="shared" si="4"/>
        <v>45698</v>
      </c>
    </row>
    <row r="41" spans="1:14" x14ac:dyDescent="0.3">
      <c r="A41">
        <v>984</v>
      </c>
      <c r="B41">
        <v>10038</v>
      </c>
      <c r="C41" t="s">
        <v>1007</v>
      </c>
      <c r="D41" t="s">
        <v>29</v>
      </c>
      <c r="E41" t="s">
        <v>16</v>
      </c>
      <c r="F41" t="s">
        <v>17</v>
      </c>
      <c r="G41" t="s">
        <v>21</v>
      </c>
      <c r="H41">
        <v>82251.679999999993</v>
      </c>
      <c r="I41">
        <v>0</v>
      </c>
      <c r="J41" t="str">
        <f t="shared" si="0"/>
        <v>High</v>
      </c>
      <c r="K41" t="str">
        <f t="shared" si="1"/>
        <v>Normal</v>
      </c>
      <c r="L41">
        <f t="shared" si="2"/>
        <v>1</v>
      </c>
      <c r="M41">
        <f t="shared" si="3"/>
        <v>1</v>
      </c>
      <c r="N41" s="6">
        <f t="shared" si="4"/>
        <v>45698</v>
      </c>
    </row>
    <row r="42" spans="1:14" x14ac:dyDescent="0.3">
      <c r="A42">
        <v>937</v>
      </c>
      <c r="B42">
        <v>10048</v>
      </c>
      <c r="C42" t="s">
        <v>960</v>
      </c>
      <c r="D42" t="s">
        <v>20</v>
      </c>
      <c r="E42" t="s">
        <v>24</v>
      </c>
      <c r="F42" t="s">
        <v>12</v>
      </c>
      <c r="G42" t="s">
        <v>21</v>
      </c>
      <c r="H42">
        <v>44170.94</v>
      </c>
      <c r="I42">
        <v>0</v>
      </c>
      <c r="J42" t="str">
        <f t="shared" si="0"/>
        <v>High</v>
      </c>
      <c r="K42" t="str">
        <f t="shared" si="1"/>
        <v>Normal</v>
      </c>
      <c r="L42">
        <f t="shared" si="2"/>
        <v>1</v>
      </c>
      <c r="M42">
        <f t="shared" si="3"/>
        <v>1</v>
      </c>
      <c r="N42" s="6">
        <f t="shared" si="4"/>
        <v>45697</v>
      </c>
    </row>
    <row r="43" spans="1:14" x14ac:dyDescent="0.3">
      <c r="A43">
        <v>938</v>
      </c>
      <c r="B43">
        <v>10077</v>
      </c>
      <c r="C43" t="s">
        <v>961</v>
      </c>
      <c r="D43" t="s">
        <v>23</v>
      </c>
      <c r="E43" t="s">
        <v>24</v>
      </c>
      <c r="F43" t="s">
        <v>17</v>
      </c>
      <c r="G43" t="s">
        <v>18</v>
      </c>
      <c r="H43">
        <v>20021.22</v>
      </c>
      <c r="I43">
        <v>0</v>
      </c>
      <c r="J43" t="str">
        <f t="shared" si="0"/>
        <v>High</v>
      </c>
      <c r="K43" t="str">
        <f t="shared" si="1"/>
        <v>Normal</v>
      </c>
      <c r="L43">
        <f t="shared" si="2"/>
        <v>1</v>
      </c>
      <c r="M43">
        <f t="shared" si="3"/>
        <v>1</v>
      </c>
      <c r="N43" s="6">
        <f t="shared" si="4"/>
        <v>45697</v>
      </c>
    </row>
    <row r="44" spans="1:14" x14ac:dyDescent="0.3">
      <c r="A44">
        <v>939</v>
      </c>
      <c r="B44">
        <v>10089</v>
      </c>
      <c r="C44" t="s">
        <v>962</v>
      </c>
      <c r="D44" t="s">
        <v>20</v>
      </c>
      <c r="E44" t="s">
        <v>11</v>
      </c>
      <c r="F44" t="s">
        <v>17</v>
      </c>
      <c r="G44" t="s">
        <v>13</v>
      </c>
      <c r="H44">
        <v>26520.73</v>
      </c>
      <c r="I44">
        <v>0</v>
      </c>
      <c r="J44" t="str">
        <f t="shared" si="0"/>
        <v>High</v>
      </c>
      <c r="K44" t="str">
        <f t="shared" si="1"/>
        <v>Normal</v>
      </c>
      <c r="L44">
        <f t="shared" si="2"/>
        <v>1</v>
      </c>
      <c r="M44">
        <f t="shared" si="3"/>
        <v>1</v>
      </c>
      <c r="N44" s="6">
        <f t="shared" si="4"/>
        <v>45697</v>
      </c>
    </row>
    <row r="45" spans="1:14" x14ac:dyDescent="0.3">
      <c r="A45">
        <v>940</v>
      </c>
      <c r="B45">
        <v>10044</v>
      </c>
      <c r="C45" t="s">
        <v>963</v>
      </c>
      <c r="D45" t="s">
        <v>15</v>
      </c>
      <c r="E45" t="s">
        <v>16</v>
      </c>
      <c r="F45" t="s">
        <v>17</v>
      </c>
      <c r="G45" t="s">
        <v>25</v>
      </c>
      <c r="H45">
        <v>50404.34</v>
      </c>
      <c r="I45">
        <v>0</v>
      </c>
      <c r="J45" t="str">
        <f t="shared" si="0"/>
        <v>High</v>
      </c>
      <c r="K45" t="str">
        <f t="shared" si="1"/>
        <v>Normal</v>
      </c>
      <c r="L45">
        <f t="shared" si="2"/>
        <v>1</v>
      </c>
      <c r="M45">
        <f t="shared" si="3"/>
        <v>1</v>
      </c>
      <c r="N45" s="6">
        <f t="shared" si="4"/>
        <v>45697</v>
      </c>
    </row>
    <row r="46" spans="1:14" x14ac:dyDescent="0.3">
      <c r="A46">
        <v>941</v>
      </c>
      <c r="B46">
        <v>10026</v>
      </c>
      <c r="C46" t="s">
        <v>964</v>
      </c>
      <c r="D46" t="s">
        <v>15</v>
      </c>
      <c r="E46" t="s">
        <v>24</v>
      </c>
      <c r="F46" t="s">
        <v>12</v>
      </c>
      <c r="G46" t="s">
        <v>31</v>
      </c>
      <c r="H46">
        <v>6904.09</v>
      </c>
      <c r="I46">
        <v>0</v>
      </c>
      <c r="J46" t="str">
        <f t="shared" si="0"/>
        <v>High</v>
      </c>
      <c r="K46" t="str">
        <f t="shared" si="1"/>
        <v>Normal</v>
      </c>
      <c r="L46">
        <f t="shared" si="2"/>
        <v>1</v>
      </c>
      <c r="M46">
        <f t="shared" si="3"/>
        <v>1</v>
      </c>
      <c r="N46" s="6">
        <f t="shared" si="4"/>
        <v>45697</v>
      </c>
    </row>
    <row r="47" spans="1:14" x14ac:dyDescent="0.3">
      <c r="A47">
        <v>942</v>
      </c>
      <c r="B47">
        <v>10072</v>
      </c>
      <c r="C47" t="s">
        <v>965</v>
      </c>
      <c r="D47" t="s">
        <v>20</v>
      </c>
      <c r="E47" t="s">
        <v>11</v>
      </c>
      <c r="F47" t="s">
        <v>12</v>
      </c>
      <c r="G47" t="s">
        <v>25</v>
      </c>
      <c r="H47">
        <v>21895.62</v>
      </c>
      <c r="I47">
        <v>0</v>
      </c>
      <c r="J47" t="str">
        <f t="shared" si="0"/>
        <v>High</v>
      </c>
      <c r="K47" t="str">
        <f t="shared" si="1"/>
        <v>Normal</v>
      </c>
      <c r="L47">
        <f t="shared" si="2"/>
        <v>1</v>
      </c>
      <c r="M47">
        <f t="shared" si="3"/>
        <v>1</v>
      </c>
      <c r="N47" s="6">
        <f t="shared" si="4"/>
        <v>45697</v>
      </c>
    </row>
    <row r="48" spans="1:14" x14ac:dyDescent="0.3">
      <c r="A48">
        <v>943</v>
      </c>
      <c r="B48">
        <v>10025</v>
      </c>
      <c r="C48" t="s">
        <v>966</v>
      </c>
      <c r="D48" t="s">
        <v>20</v>
      </c>
      <c r="E48" t="s">
        <v>24</v>
      </c>
      <c r="F48" t="s">
        <v>12</v>
      </c>
      <c r="G48" t="s">
        <v>31</v>
      </c>
      <c r="H48">
        <v>93544.28</v>
      </c>
      <c r="I48">
        <v>0</v>
      </c>
      <c r="J48" t="str">
        <f t="shared" si="0"/>
        <v>High</v>
      </c>
      <c r="K48" t="str">
        <f t="shared" si="1"/>
        <v>Normal</v>
      </c>
      <c r="L48">
        <f t="shared" si="2"/>
        <v>1</v>
      </c>
      <c r="M48">
        <f t="shared" si="3"/>
        <v>1</v>
      </c>
      <c r="N48" s="6">
        <f t="shared" si="4"/>
        <v>45697</v>
      </c>
    </row>
    <row r="49" spans="1:14" x14ac:dyDescent="0.3">
      <c r="A49">
        <v>944</v>
      </c>
      <c r="B49">
        <v>10046</v>
      </c>
      <c r="C49" t="s">
        <v>967</v>
      </c>
      <c r="D49" t="s">
        <v>15</v>
      </c>
      <c r="E49" t="s">
        <v>16</v>
      </c>
      <c r="F49" t="s">
        <v>17</v>
      </c>
      <c r="G49" t="s">
        <v>13</v>
      </c>
      <c r="H49">
        <v>46665.02</v>
      </c>
      <c r="I49">
        <v>0</v>
      </c>
      <c r="J49" t="str">
        <f t="shared" si="0"/>
        <v>High</v>
      </c>
      <c r="K49" t="str">
        <f t="shared" si="1"/>
        <v>Normal</v>
      </c>
      <c r="L49">
        <f t="shared" si="2"/>
        <v>1</v>
      </c>
      <c r="M49">
        <f t="shared" si="3"/>
        <v>1</v>
      </c>
      <c r="N49" s="6">
        <f t="shared" si="4"/>
        <v>45697</v>
      </c>
    </row>
    <row r="50" spans="1:14" x14ac:dyDescent="0.3">
      <c r="A50">
        <v>945</v>
      </c>
      <c r="B50">
        <v>10085</v>
      </c>
      <c r="C50" t="s">
        <v>968</v>
      </c>
      <c r="D50" t="s">
        <v>23</v>
      </c>
      <c r="E50" t="s">
        <v>11</v>
      </c>
      <c r="F50" t="s">
        <v>17</v>
      </c>
      <c r="G50" t="s">
        <v>21</v>
      </c>
      <c r="H50">
        <v>44594.11</v>
      </c>
      <c r="I50">
        <v>0</v>
      </c>
      <c r="J50" t="str">
        <f t="shared" si="0"/>
        <v>High</v>
      </c>
      <c r="K50" t="str">
        <f t="shared" si="1"/>
        <v>Normal</v>
      </c>
      <c r="L50">
        <f t="shared" si="2"/>
        <v>1</v>
      </c>
      <c r="M50">
        <f t="shared" si="3"/>
        <v>1</v>
      </c>
      <c r="N50" s="6">
        <f t="shared" si="4"/>
        <v>45697</v>
      </c>
    </row>
    <row r="51" spans="1:14" x14ac:dyDescent="0.3">
      <c r="A51">
        <v>946</v>
      </c>
      <c r="B51">
        <v>10055</v>
      </c>
      <c r="C51" t="s">
        <v>969</v>
      </c>
      <c r="D51" t="s">
        <v>29</v>
      </c>
      <c r="E51" t="s">
        <v>24</v>
      </c>
      <c r="F51" t="s">
        <v>12</v>
      </c>
      <c r="G51" t="s">
        <v>25</v>
      </c>
      <c r="H51">
        <v>1555.26</v>
      </c>
      <c r="I51">
        <v>0</v>
      </c>
      <c r="J51" t="str">
        <f t="shared" si="0"/>
        <v>High</v>
      </c>
      <c r="K51" t="str">
        <f t="shared" si="1"/>
        <v>Normal</v>
      </c>
      <c r="L51">
        <f t="shared" si="2"/>
        <v>1</v>
      </c>
      <c r="M51">
        <f t="shared" si="3"/>
        <v>1</v>
      </c>
      <c r="N51" s="6">
        <f t="shared" si="4"/>
        <v>45697</v>
      </c>
    </row>
    <row r="52" spans="1:14" x14ac:dyDescent="0.3">
      <c r="A52">
        <v>947</v>
      </c>
      <c r="B52">
        <v>10093</v>
      </c>
      <c r="C52" t="s">
        <v>970</v>
      </c>
      <c r="D52" t="s">
        <v>29</v>
      </c>
      <c r="E52" t="s">
        <v>16</v>
      </c>
      <c r="F52" t="s">
        <v>12</v>
      </c>
      <c r="G52" t="s">
        <v>25</v>
      </c>
      <c r="H52">
        <v>24815.23</v>
      </c>
      <c r="I52">
        <v>0</v>
      </c>
      <c r="J52" t="str">
        <f t="shared" si="0"/>
        <v>High</v>
      </c>
      <c r="K52" t="str">
        <f t="shared" si="1"/>
        <v>Normal</v>
      </c>
      <c r="L52">
        <f t="shared" si="2"/>
        <v>1</v>
      </c>
      <c r="M52">
        <f t="shared" si="3"/>
        <v>1</v>
      </c>
      <c r="N52" s="6">
        <f t="shared" si="4"/>
        <v>45697</v>
      </c>
    </row>
    <row r="53" spans="1:14" x14ac:dyDescent="0.3">
      <c r="A53">
        <v>948</v>
      </c>
      <c r="B53">
        <v>10062</v>
      </c>
      <c r="C53" t="s">
        <v>971</v>
      </c>
      <c r="D53" t="s">
        <v>20</v>
      </c>
      <c r="E53" t="s">
        <v>24</v>
      </c>
      <c r="F53" t="s">
        <v>12</v>
      </c>
      <c r="G53" t="s">
        <v>25</v>
      </c>
      <c r="H53">
        <v>86642.61</v>
      </c>
      <c r="I53">
        <v>0</v>
      </c>
      <c r="J53" t="str">
        <f t="shared" si="0"/>
        <v>High</v>
      </c>
      <c r="K53" t="str">
        <f t="shared" si="1"/>
        <v>Normal</v>
      </c>
      <c r="L53">
        <f t="shared" si="2"/>
        <v>1</v>
      </c>
      <c r="M53">
        <f t="shared" si="3"/>
        <v>1</v>
      </c>
      <c r="N53" s="6">
        <f t="shared" si="4"/>
        <v>45697</v>
      </c>
    </row>
    <row r="54" spans="1:14" x14ac:dyDescent="0.3">
      <c r="A54">
        <v>949</v>
      </c>
      <c r="B54">
        <v>10047</v>
      </c>
      <c r="C54" t="s">
        <v>972</v>
      </c>
      <c r="D54" t="s">
        <v>29</v>
      </c>
      <c r="E54" t="s">
        <v>16</v>
      </c>
      <c r="F54" t="s">
        <v>12</v>
      </c>
      <c r="G54" t="s">
        <v>31</v>
      </c>
      <c r="H54">
        <v>16546.38</v>
      </c>
      <c r="I54">
        <v>0</v>
      </c>
      <c r="J54" t="str">
        <f t="shared" si="0"/>
        <v>High</v>
      </c>
      <c r="K54" t="str">
        <f t="shared" si="1"/>
        <v>Normal</v>
      </c>
      <c r="L54">
        <f t="shared" si="2"/>
        <v>1</v>
      </c>
      <c r="M54">
        <f t="shared" si="3"/>
        <v>1</v>
      </c>
      <c r="N54" s="6">
        <f t="shared" si="4"/>
        <v>45697</v>
      </c>
    </row>
    <row r="55" spans="1:14" x14ac:dyDescent="0.3">
      <c r="A55">
        <v>950</v>
      </c>
      <c r="B55">
        <v>10060</v>
      </c>
      <c r="C55" t="s">
        <v>973</v>
      </c>
      <c r="D55" t="s">
        <v>15</v>
      </c>
      <c r="E55" t="s">
        <v>16</v>
      </c>
      <c r="F55" t="s">
        <v>12</v>
      </c>
      <c r="G55" t="s">
        <v>13</v>
      </c>
      <c r="H55">
        <v>41570.980000000003</v>
      </c>
      <c r="I55">
        <v>0</v>
      </c>
      <c r="J55" t="str">
        <f t="shared" si="0"/>
        <v>High</v>
      </c>
      <c r="K55" t="str">
        <f t="shared" si="1"/>
        <v>Normal</v>
      </c>
      <c r="L55">
        <f t="shared" si="2"/>
        <v>1</v>
      </c>
      <c r="M55">
        <f t="shared" si="3"/>
        <v>1</v>
      </c>
      <c r="N55" s="6">
        <f t="shared" si="4"/>
        <v>45697</v>
      </c>
    </row>
    <row r="56" spans="1:14" x14ac:dyDescent="0.3">
      <c r="A56">
        <v>951</v>
      </c>
      <c r="B56">
        <v>10080</v>
      </c>
      <c r="C56" t="s">
        <v>974</v>
      </c>
      <c r="D56" t="s">
        <v>15</v>
      </c>
      <c r="E56" t="s">
        <v>11</v>
      </c>
      <c r="F56" t="s">
        <v>17</v>
      </c>
      <c r="G56" t="s">
        <v>25</v>
      </c>
      <c r="H56">
        <v>1531.66</v>
      </c>
      <c r="I56">
        <v>0</v>
      </c>
      <c r="J56" t="str">
        <f t="shared" si="0"/>
        <v>High</v>
      </c>
      <c r="K56" t="str">
        <f t="shared" si="1"/>
        <v>Normal</v>
      </c>
      <c r="L56">
        <f t="shared" si="2"/>
        <v>1</v>
      </c>
      <c r="M56">
        <f t="shared" si="3"/>
        <v>1</v>
      </c>
      <c r="N56" s="6">
        <f t="shared" si="4"/>
        <v>45697</v>
      </c>
    </row>
    <row r="57" spans="1:14" x14ac:dyDescent="0.3">
      <c r="A57">
        <v>952</v>
      </c>
      <c r="B57">
        <v>10025</v>
      </c>
      <c r="C57" t="s">
        <v>975</v>
      </c>
      <c r="D57" t="s">
        <v>20</v>
      </c>
      <c r="E57" t="s">
        <v>16</v>
      </c>
      <c r="F57" t="s">
        <v>17</v>
      </c>
      <c r="G57" t="s">
        <v>25</v>
      </c>
      <c r="H57">
        <v>47885.71</v>
      </c>
      <c r="I57">
        <v>0</v>
      </c>
      <c r="J57" t="str">
        <f t="shared" si="0"/>
        <v>High</v>
      </c>
      <c r="K57" t="str">
        <f t="shared" si="1"/>
        <v>Normal</v>
      </c>
      <c r="L57">
        <f t="shared" si="2"/>
        <v>1</v>
      </c>
      <c r="M57">
        <f t="shared" si="3"/>
        <v>1</v>
      </c>
      <c r="N57" s="6">
        <f t="shared" si="4"/>
        <v>45697</v>
      </c>
    </row>
    <row r="58" spans="1:14" x14ac:dyDescent="0.3">
      <c r="A58">
        <v>953</v>
      </c>
      <c r="B58">
        <v>10035</v>
      </c>
      <c r="C58" t="s">
        <v>976</v>
      </c>
      <c r="D58" t="s">
        <v>20</v>
      </c>
      <c r="E58" t="s">
        <v>24</v>
      </c>
      <c r="F58" t="s">
        <v>17</v>
      </c>
      <c r="G58" t="s">
        <v>21</v>
      </c>
      <c r="H58">
        <v>2200.0100000000002</v>
      </c>
      <c r="I58">
        <v>0</v>
      </c>
      <c r="J58" t="str">
        <f t="shared" si="0"/>
        <v>High</v>
      </c>
      <c r="K58" t="str">
        <f t="shared" si="1"/>
        <v>Normal</v>
      </c>
      <c r="L58">
        <f t="shared" si="2"/>
        <v>1</v>
      </c>
      <c r="M58">
        <f t="shared" si="3"/>
        <v>1</v>
      </c>
      <c r="N58" s="6">
        <f t="shared" si="4"/>
        <v>45697</v>
      </c>
    </row>
    <row r="59" spans="1:14" x14ac:dyDescent="0.3">
      <c r="A59">
        <v>954</v>
      </c>
      <c r="B59">
        <v>10000</v>
      </c>
      <c r="C59" t="s">
        <v>977</v>
      </c>
      <c r="D59" t="s">
        <v>20</v>
      </c>
      <c r="E59" t="s">
        <v>16</v>
      </c>
      <c r="F59" t="s">
        <v>12</v>
      </c>
      <c r="G59" t="s">
        <v>21</v>
      </c>
      <c r="H59">
        <v>81978.990000000005</v>
      </c>
      <c r="I59">
        <v>0</v>
      </c>
      <c r="J59" t="str">
        <f t="shared" si="0"/>
        <v>High</v>
      </c>
      <c r="K59" t="str">
        <f t="shared" si="1"/>
        <v>Normal</v>
      </c>
      <c r="L59">
        <f t="shared" si="2"/>
        <v>1</v>
      </c>
      <c r="M59">
        <f t="shared" si="3"/>
        <v>1</v>
      </c>
      <c r="N59" s="6">
        <f t="shared" si="4"/>
        <v>45697</v>
      </c>
    </row>
    <row r="60" spans="1:14" x14ac:dyDescent="0.3">
      <c r="A60">
        <v>955</v>
      </c>
      <c r="B60">
        <v>10007</v>
      </c>
      <c r="C60" t="s">
        <v>978</v>
      </c>
      <c r="D60" t="s">
        <v>23</v>
      </c>
      <c r="E60" t="s">
        <v>16</v>
      </c>
      <c r="F60" t="s">
        <v>17</v>
      </c>
      <c r="G60" t="s">
        <v>13</v>
      </c>
      <c r="H60">
        <v>82502.89</v>
      </c>
      <c r="I60">
        <v>0</v>
      </c>
      <c r="J60" t="str">
        <f t="shared" si="0"/>
        <v>High</v>
      </c>
      <c r="K60" t="str">
        <f t="shared" si="1"/>
        <v>Normal</v>
      </c>
      <c r="L60">
        <f t="shared" si="2"/>
        <v>1</v>
      </c>
      <c r="M60">
        <f t="shared" si="3"/>
        <v>1</v>
      </c>
      <c r="N60" s="6">
        <f t="shared" si="4"/>
        <v>45697</v>
      </c>
    </row>
    <row r="61" spans="1:14" x14ac:dyDescent="0.3">
      <c r="A61">
        <v>956</v>
      </c>
      <c r="B61">
        <v>10098</v>
      </c>
      <c r="C61" t="s">
        <v>979</v>
      </c>
      <c r="D61" t="s">
        <v>29</v>
      </c>
      <c r="E61" t="s">
        <v>11</v>
      </c>
      <c r="F61" t="s">
        <v>17</v>
      </c>
      <c r="G61" t="s">
        <v>13</v>
      </c>
      <c r="H61">
        <v>78795.44</v>
      </c>
      <c r="I61">
        <v>1</v>
      </c>
      <c r="J61" t="str">
        <f t="shared" si="0"/>
        <v>High</v>
      </c>
      <c r="K61" t="str">
        <f t="shared" si="1"/>
        <v>High Risk</v>
      </c>
      <c r="L61">
        <f t="shared" si="2"/>
        <v>1</v>
      </c>
      <c r="M61">
        <f t="shared" si="3"/>
        <v>1</v>
      </c>
      <c r="N61" s="6">
        <f t="shared" si="4"/>
        <v>45697</v>
      </c>
    </row>
    <row r="62" spans="1:14" x14ac:dyDescent="0.3">
      <c r="A62">
        <v>957</v>
      </c>
      <c r="B62">
        <v>10051</v>
      </c>
      <c r="C62" t="s">
        <v>980</v>
      </c>
      <c r="D62" t="s">
        <v>20</v>
      </c>
      <c r="E62" t="s">
        <v>16</v>
      </c>
      <c r="F62" t="s">
        <v>17</v>
      </c>
      <c r="G62" t="s">
        <v>18</v>
      </c>
      <c r="H62">
        <v>28408.07</v>
      </c>
      <c r="I62">
        <v>0</v>
      </c>
      <c r="J62" t="str">
        <f t="shared" si="0"/>
        <v>High</v>
      </c>
      <c r="K62" t="str">
        <f t="shared" si="1"/>
        <v>Normal</v>
      </c>
      <c r="L62">
        <f t="shared" si="2"/>
        <v>1</v>
      </c>
      <c r="M62">
        <f t="shared" si="3"/>
        <v>1</v>
      </c>
      <c r="N62" s="6">
        <f t="shared" si="4"/>
        <v>45697</v>
      </c>
    </row>
    <row r="63" spans="1:14" x14ac:dyDescent="0.3">
      <c r="A63">
        <v>958</v>
      </c>
      <c r="B63">
        <v>10078</v>
      </c>
      <c r="C63" t="s">
        <v>981</v>
      </c>
      <c r="D63" t="s">
        <v>10</v>
      </c>
      <c r="E63" t="s">
        <v>16</v>
      </c>
      <c r="F63" t="s">
        <v>17</v>
      </c>
      <c r="G63" t="s">
        <v>21</v>
      </c>
      <c r="H63">
        <v>83740</v>
      </c>
      <c r="I63">
        <v>0</v>
      </c>
      <c r="J63" t="str">
        <f t="shared" si="0"/>
        <v>High</v>
      </c>
      <c r="K63" t="str">
        <f t="shared" si="1"/>
        <v>Normal</v>
      </c>
      <c r="L63">
        <f t="shared" si="2"/>
        <v>1</v>
      </c>
      <c r="M63">
        <f t="shared" si="3"/>
        <v>1</v>
      </c>
      <c r="N63" s="6">
        <f t="shared" si="4"/>
        <v>45697</v>
      </c>
    </row>
    <row r="64" spans="1:14" x14ac:dyDescent="0.3">
      <c r="A64">
        <v>959</v>
      </c>
      <c r="B64">
        <v>10046</v>
      </c>
      <c r="C64" t="s">
        <v>982</v>
      </c>
      <c r="D64" t="s">
        <v>10</v>
      </c>
      <c r="E64" t="s">
        <v>24</v>
      </c>
      <c r="F64" t="s">
        <v>17</v>
      </c>
      <c r="G64" t="s">
        <v>18</v>
      </c>
      <c r="H64">
        <v>54345.51</v>
      </c>
      <c r="I64">
        <v>0</v>
      </c>
      <c r="J64" t="str">
        <f t="shared" si="0"/>
        <v>High</v>
      </c>
      <c r="K64" t="str">
        <f t="shared" si="1"/>
        <v>Normal</v>
      </c>
      <c r="L64">
        <f t="shared" si="2"/>
        <v>1</v>
      </c>
      <c r="M64">
        <f t="shared" si="3"/>
        <v>1</v>
      </c>
      <c r="N64" s="6">
        <f t="shared" si="4"/>
        <v>45697</v>
      </c>
    </row>
    <row r="65" spans="1:14" x14ac:dyDescent="0.3">
      <c r="A65">
        <v>960</v>
      </c>
      <c r="B65">
        <v>10055</v>
      </c>
      <c r="C65" t="s">
        <v>983</v>
      </c>
      <c r="D65" t="s">
        <v>15</v>
      </c>
      <c r="E65" t="s">
        <v>11</v>
      </c>
      <c r="F65" t="s">
        <v>12</v>
      </c>
      <c r="G65" t="s">
        <v>31</v>
      </c>
      <c r="H65">
        <v>37443.43</v>
      </c>
      <c r="I65">
        <v>0</v>
      </c>
      <c r="J65" t="str">
        <f t="shared" si="0"/>
        <v>High</v>
      </c>
      <c r="K65" t="str">
        <f t="shared" si="1"/>
        <v>Normal</v>
      </c>
      <c r="L65">
        <f t="shared" si="2"/>
        <v>1</v>
      </c>
      <c r="M65">
        <f t="shared" si="3"/>
        <v>1</v>
      </c>
      <c r="N65" s="6">
        <f t="shared" si="4"/>
        <v>45697</v>
      </c>
    </row>
    <row r="66" spans="1:14" x14ac:dyDescent="0.3">
      <c r="A66">
        <v>913</v>
      </c>
      <c r="B66">
        <v>10095</v>
      </c>
      <c r="C66" t="s">
        <v>936</v>
      </c>
      <c r="D66" t="s">
        <v>10</v>
      </c>
      <c r="E66" t="s">
        <v>16</v>
      </c>
      <c r="F66" t="s">
        <v>17</v>
      </c>
      <c r="G66" t="s">
        <v>13</v>
      </c>
      <c r="H66">
        <v>47004.91</v>
      </c>
      <c r="I66">
        <v>0</v>
      </c>
      <c r="J66" t="str">
        <f t="shared" ref="J66:J129" si="5">IF(E66&gt;50000,"High","Normal")</f>
        <v>High</v>
      </c>
      <c r="K66" t="str">
        <f t="shared" ref="K66:K129" si="6">IF(AND(H66&gt;50000,E66="Online"),"High Risk","Normal")</f>
        <v>Normal</v>
      </c>
      <c r="L66">
        <f t="shared" ref="L66:L129" si="7">COUNTIFS(C:C,C66,B:B,B66)</f>
        <v>1</v>
      </c>
      <c r="M66">
        <f t="shared" ref="M66:M129" si="8">IF(E66&gt;50000,1,0) + IF(H66="Unusual",1,0) + IF(I66&gt;3,1,0)</f>
        <v>1</v>
      </c>
      <c r="N66" s="6">
        <f t="shared" ref="N66:N129" si="9">INT(C66)</f>
        <v>45696</v>
      </c>
    </row>
    <row r="67" spans="1:14" x14ac:dyDescent="0.3">
      <c r="A67">
        <v>914</v>
      </c>
      <c r="B67">
        <v>10066</v>
      </c>
      <c r="C67" t="s">
        <v>937</v>
      </c>
      <c r="D67" t="s">
        <v>15</v>
      </c>
      <c r="E67" t="s">
        <v>24</v>
      </c>
      <c r="F67" t="s">
        <v>17</v>
      </c>
      <c r="G67" t="s">
        <v>31</v>
      </c>
      <c r="H67">
        <v>42323.34</v>
      </c>
      <c r="I67">
        <v>0</v>
      </c>
      <c r="J67" t="str">
        <f t="shared" si="5"/>
        <v>High</v>
      </c>
      <c r="K67" t="str">
        <f t="shared" si="6"/>
        <v>Normal</v>
      </c>
      <c r="L67">
        <f t="shared" si="7"/>
        <v>1</v>
      </c>
      <c r="M67">
        <f t="shared" si="8"/>
        <v>1</v>
      </c>
      <c r="N67" s="6">
        <f t="shared" si="9"/>
        <v>45696</v>
      </c>
    </row>
    <row r="68" spans="1:14" x14ac:dyDescent="0.3">
      <c r="A68">
        <v>915</v>
      </c>
      <c r="B68">
        <v>10026</v>
      </c>
      <c r="C68" t="s">
        <v>938</v>
      </c>
      <c r="D68" t="s">
        <v>23</v>
      </c>
      <c r="E68" t="s">
        <v>16</v>
      </c>
      <c r="F68" t="s">
        <v>12</v>
      </c>
      <c r="G68" t="s">
        <v>18</v>
      </c>
      <c r="H68">
        <v>99564.22</v>
      </c>
      <c r="I68">
        <v>0</v>
      </c>
      <c r="J68" t="str">
        <f t="shared" si="5"/>
        <v>High</v>
      </c>
      <c r="K68" t="str">
        <f t="shared" si="6"/>
        <v>Normal</v>
      </c>
      <c r="L68">
        <f t="shared" si="7"/>
        <v>1</v>
      </c>
      <c r="M68">
        <f t="shared" si="8"/>
        <v>1</v>
      </c>
      <c r="N68" s="6">
        <f t="shared" si="9"/>
        <v>45696</v>
      </c>
    </row>
    <row r="69" spans="1:14" x14ac:dyDescent="0.3">
      <c r="A69">
        <v>916</v>
      </c>
      <c r="B69">
        <v>10092</v>
      </c>
      <c r="C69" t="s">
        <v>939</v>
      </c>
      <c r="D69" t="s">
        <v>15</v>
      </c>
      <c r="E69" t="s">
        <v>24</v>
      </c>
      <c r="F69" t="s">
        <v>12</v>
      </c>
      <c r="G69" t="s">
        <v>13</v>
      </c>
      <c r="H69">
        <v>1148.31</v>
      </c>
      <c r="I69">
        <v>0</v>
      </c>
      <c r="J69" t="str">
        <f t="shared" si="5"/>
        <v>High</v>
      </c>
      <c r="K69" t="str">
        <f t="shared" si="6"/>
        <v>Normal</v>
      </c>
      <c r="L69">
        <f t="shared" si="7"/>
        <v>1</v>
      </c>
      <c r="M69">
        <f t="shared" si="8"/>
        <v>1</v>
      </c>
      <c r="N69" s="6">
        <f t="shared" si="9"/>
        <v>45696</v>
      </c>
    </row>
    <row r="70" spans="1:14" x14ac:dyDescent="0.3">
      <c r="A70">
        <v>917</v>
      </c>
      <c r="B70">
        <v>10031</v>
      </c>
      <c r="C70" t="s">
        <v>940</v>
      </c>
      <c r="D70" t="s">
        <v>15</v>
      </c>
      <c r="E70" t="s">
        <v>16</v>
      </c>
      <c r="F70" t="s">
        <v>12</v>
      </c>
      <c r="G70" t="s">
        <v>31</v>
      </c>
      <c r="H70">
        <v>89517.02</v>
      </c>
      <c r="I70">
        <v>0</v>
      </c>
      <c r="J70" t="str">
        <f t="shared" si="5"/>
        <v>High</v>
      </c>
      <c r="K70" t="str">
        <f t="shared" si="6"/>
        <v>Normal</v>
      </c>
      <c r="L70">
        <f t="shared" si="7"/>
        <v>1</v>
      </c>
      <c r="M70">
        <f t="shared" si="8"/>
        <v>1</v>
      </c>
      <c r="N70" s="6">
        <f t="shared" si="9"/>
        <v>45696</v>
      </c>
    </row>
    <row r="71" spans="1:14" x14ac:dyDescent="0.3">
      <c r="A71">
        <v>918</v>
      </c>
      <c r="B71">
        <v>10049</v>
      </c>
      <c r="C71" t="s">
        <v>941</v>
      </c>
      <c r="D71" t="s">
        <v>20</v>
      </c>
      <c r="E71" t="s">
        <v>24</v>
      </c>
      <c r="F71" t="s">
        <v>12</v>
      </c>
      <c r="G71" t="s">
        <v>21</v>
      </c>
      <c r="H71">
        <v>14999.17</v>
      </c>
      <c r="I71">
        <v>0</v>
      </c>
      <c r="J71" t="str">
        <f t="shared" si="5"/>
        <v>High</v>
      </c>
      <c r="K71" t="str">
        <f t="shared" si="6"/>
        <v>Normal</v>
      </c>
      <c r="L71">
        <f t="shared" si="7"/>
        <v>1</v>
      </c>
      <c r="M71">
        <f t="shared" si="8"/>
        <v>1</v>
      </c>
      <c r="N71" s="6">
        <f t="shared" si="9"/>
        <v>45696</v>
      </c>
    </row>
    <row r="72" spans="1:14" x14ac:dyDescent="0.3">
      <c r="A72">
        <v>919</v>
      </c>
      <c r="B72">
        <v>10060</v>
      </c>
      <c r="C72" t="s">
        <v>942</v>
      </c>
      <c r="D72" t="s">
        <v>10</v>
      </c>
      <c r="E72" t="s">
        <v>16</v>
      </c>
      <c r="F72" t="s">
        <v>12</v>
      </c>
      <c r="G72" t="s">
        <v>31</v>
      </c>
      <c r="H72">
        <v>78613.94</v>
      </c>
      <c r="I72">
        <v>0</v>
      </c>
      <c r="J72" t="str">
        <f t="shared" si="5"/>
        <v>High</v>
      </c>
      <c r="K72" t="str">
        <f t="shared" si="6"/>
        <v>Normal</v>
      </c>
      <c r="L72">
        <f t="shared" si="7"/>
        <v>1</v>
      </c>
      <c r="M72">
        <f t="shared" si="8"/>
        <v>1</v>
      </c>
      <c r="N72" s="6">
        <f t="shared" si="9"/>
        <v>45696</v>
      </c>
    </row>
    <row r="73" spans="1:14" x14ac:dyDescent="0.3">
      <c r="A73">
        <v>920</v>
      </c>
      <c r="B73">
        <v>10050</v>
      </c>
      <c r="C73" t="s">
        <v>943</v>
      </c>
      <c r="D73" t="s">
        <v>23</v>
      </c>
      <c r="E73" t="s">
        <v>16</v>
      </c>
      <c r="F73" t="s">
        <v>12</v>
      </c>
      <c r="G73" t="s">
        <v>18</v>
      </c>
      <c r="H73">
        <v>61831.360000000001</v>
      </c>
      <c r="I73">
        <v>0</v>
      </c>
      <c r="J73" t="str">
        <f t="shared" si="5"/>
        <v>High</v>
      </c>
      <c r="K73" t="str">
        <f t="shared" si="6"/>
        <v>Normal</v>
      </c>
      <c r="L73">
        <f t="shared" si="7"/>
        <v>1</v>
      </c>
      <c r="M73">
        <f t="shared" si="8"/>
        <v>1</v>
      </c>
      <c r="N73" s="6">
        <f t="shared" si="9"/>
        <v>45696</v>
      </c>
    </row>
    <row r="74" spans="1:14" x14ac:dyDescent="0.3">
      <c r="A74">
        <v>921</v>
      </c>
      <c r="B74">
        <v>10018</v>
      </c>
      <c r="C74" t="s">
        <v>944</v>
      </c>
      <c r="D74" t="s">
        <v>29</v>
      </c>
      <c r="E74" t="s">
        <v>16</v>
      </c>
      <c r="F74" t="s">
        <v>12</v>
      </c>
      <c r="G74" t="s">
        <v>25</v>
      </c>
      <c r="H74">
        <v>34250.54</v>
      </c>
      <c r="I74">
        <v>0</v>
      </c>
      <c r="J74" t="str">
        <f t="shared" si="5"/>
        <v>High</v>
      </c>
      <c r="K74" t="str">
        <f t="shared" si="6"/>
        <v>Normal</v>
      </c>
      <c r="L74">
        <f t="shared" si="7"/>
        <v>1</v>
      </c>
      <c r="M74">
        <f t="shared" si="8"/>
        <v>1</v>
      </c>
      <c r="N74" s="6">
        <f t="shared" si="9"/>
        <v>45696</v>
      </c>
    </row>
    <row r="75" spans="1:14" x14ac:dyDescent="0.3">
      <c r="A75">
        <v>922</v>
      </c>
      <c r="B75">
        <v>10020</v>
      </c>
      <c r="C75" t="s">
        <v>945</v>
      </c>
      <c r="D75" t="s">
        <v>29</v>
      </c>
      <c r="E75" t="s">
        <v>11</v>
      </c>
      <c r="F75" t="s">
        <v>12</v>
      </c>
      <c r="G75" t="s">
        <v>21</v>
      </c>
      <c r="H75">
        <v>87400.11</v>
      </c>
      <c r="I75">
        <v>1</v>
      </c>
      <c r="J75" t="str">
        <f t="shared" si="5"/>
        <v>High</v>
      </c>
      <c r="K75" t="str">
        <f t="shared" si="6"/>
        <v>High Risk</v>
      </c>
      <c r="L75">
        <f t="shared" si="7"/>
        <v>1</v>
      </c>
      <c r="M75">
        <f t="shared" si="8"/>
        <v>1</v>
      </c>
      <c r="N75" s="6">
        <f t="shared" si="9"/>
        <v>45696</v>
      </c>
    </row>
    <row r="76" spans="1:14" x14ac:dyDescent="0.3">
      <c r="A76">
        <v>923</v>
      </c>
      <c r="B76">
        <v>10004</v>
      </c>
      <c r="C76" t="s">
        <v>946</v>
      </c>
      <c r="D76" t="s">
        <v>15</v>
      </c>
      <c r="E76" t="s">
        <v>16</v>
      </c>
      <c r="F76" t="s">
        <v>12</v>
      </c>
      <c r="G76" t="s">
        <v>13</v>
      </c>
      <c r="H76">
        <v>1389.43</v>
      </c>
      <c r="I76">
        <v>0</v>
      </c>
      <c r="J76" t="str">
        <f t="shared" si="5"/>
        <v>High</v>
      </c>
      <c r="K76" t="str">
        <f t="shared" si="6"/>
        <v>Normal</v>
      </c>
      <c r="L76">
        <f t="shared" si="7"/>
        <v>1</v>
      </c>
      <c r="M76">
        <f t="shared" si="8"/>
        <v>1</v>
      </c>
      <c r="N76" s="6">
        <f t="shared" si="9"/>
        <v>45696</v>
      </c>
    </row>
    <row r="77" spans="1:14" x14ac:dyDescent="0.3">
      <c r="A77">
        <v>924</v>
      </c>
      <c r="B77">
        <v>10081</v>
      </c>
      <c r="C77" t="s">
        <v>947</v>
      </c>
      <c r="D77" t="s">
        <v>20</v>
      </c>
      <c r="E77" t="s">
        <v>11</v>
      </c>
      <c r="F77" t="s">
        <v>12</v>
      </c>
      <c r="G77" t="s">
        <v>18</v>
      </c>
      <c r="H77">
        <v>22746.400000000001</v>
      </c>
      <c r="I77">
        <v>0</v>
      </c>
      <c r="J77" t="str">
        <f t="shared" si="5"/>
        <v>High</v>
      </c>
      <c r="K77" t="str">
        <f t="shared" si="6"/>
        <v>Normal</v>
      </c>
      <c r="L77">
        <f t="shared" si="7"/>
        <v>1</v>
      </c>
      <c r="M77">
        <f t="shared" si="8"/>
        <v>1</v>
      </c>
      <c r="N77" s="6">
        <f t="shared" si="9"/>
        <v>45696</v>
      </c>
    </row>
    <row r="78" spans="1:14" x14ac:dyDescent="0.3">
      <c r="A78">
        <v>925</v>
      </c>
      <c r="B78">
        <v>10091</v>
      </c>
      <c r="C78" t="s">
        <v>948</v>
      </c>
      <c r="D78" t="s">
        <v>20</v>
      </c>
      <c r="E78" t="s">
        <v>24</v>
      </c>
      <c r="F78" t="s">
        <v>12</v>
      </c>
      <c r="G78" t="s">
        <v>25</v>
      </c>
      <c r="H78">
        <v>56732.59</v>
      </c>
      <c r="I78">
        <v>0</v>
      </c>
      <c r="J78" t="str">
        <f t="shared" si="5"/>
        <v>High</v>
      </c>
      <c r="K78" t="str">
        <f t="shared" si="6"/>
        <v>Normal</v>
      </c>
      <c r="L78">
        <f t="shared" si="7"/>
        <v>1</v>
      </c>
      <c r="M78">
        <f t="shared" si="8"/>
        <v>1</v>
      </c>
      <c r="N78" s="6">
        <f t="shared" si="9"/>
        <v>45696</v>
      </c>
    </row>
    <row r="79" spans="1:14" x14ac:dyDescent="0.3">
      <c r="A79">
        <v>926</v>
      </c>
      <c r="B79">
        <v>10041</v>
      </c>
      <c r="C79" t="s">
        <v>949</v>
      </c>
      <c r="D79" t="s">
        <v>29</v>
      </c>
      <c r="E79" t="s">
        <v>16</v>
      </c>
      <c r="F79" t="s">
        <v>12</v>
      </c>
      <c r="G79" t="s">
        <v>31</v>
      </c>
      <c r="H79">
        <v>35219.07</v>
      </c>
      <c r="I79">
        <v>0</v>
      </c>
      <c r="J79" t="str">
        <f t="shared" si="5"/>
        <v>High</v>
      </c>
      <c r="K79" t="str">
        <f t="shared" si="6"/>
        <v>Normal</v>
      </c>
      <c r="L79">
        <f t="shared" si="7"/>
        <v>1</v>
      </c>
      <c r="M79">
        <f t="shared" si="8"/>
        <v>1</v>
      </c>
      <c r="N79" s="6">
        <f t="shared" si="9"/>
        <v>45696</v>
      </c>
    </row>
    <row r="80" spans="1:14" x14ac:dyDescent="0.3">
      <c r="A80">
        <v>927</v>
      </c>
      <c r="B80">
        <v>10060</v>
      </c>
      <c r="C80" t="s">
        <v>950</v>
      </c>
      <c r="D80" t="s">
        <v>23</v>
      </c>
      <c r="E80" t="s">
        <v>24</v>
      </c>
      <c r="F80" t="s">
        <v>12</v>
      </c>
      <c r="G80" t="s">
        <v>25</v>
      </c>
      <c r="H80">
        <v>61076.71</v>
      </c>
      <c r="I80">
        <v>0</v>
      </c>
      <c r="J80" t="str">
        <f t="shared" si="5"/>
        <v>High</v>
      </c>
      <c r="K80" t="str">
        <f t="shared" si="6"/>
        <v>Normal</v>
      </c>
      <c r="L80">
        <f t="shared" si="7"/>
        <v>1</v>
      </c>
      <c r="M80">
        <f t="shared" si="8"/>
        <v>1</v>
      </c>
      <c r="N80" s="6">
        <f t="shared" si="9"/>
        <v>45696</v>
      </c>
    </row>
    <row r="81" spans="1:14" x14ac:dyDescent="0.3">
      <c r="A81">
        <v>928</v>
      </c>
      <c r="B81">
        <v>10021</v>
      </c>
      <c r="C81" t="s">
        <v>951</v>
      </c>
      <c r="D81" t="s">
        <v>10</v>
      </c>
      <c r="E81" t="s">
        <v>24</v>
      </c>
      <c r="F81" t="s">
        <v>12</v>
      </c>
      <c r="G81" t="s">
        <v>18</v>
      </c>
      <c r="H81">
        <v>2508.61</v>
      </c>
      <c r="I81">
        <v>0</v>
      </c>
      <c r="J81" t="str">
        <f t="shared" si="5"/>
        <v>High</v>
      </c>
      <c r="K81" t="str">
        <f t="shared" si="6"/>
        <v>Normal</v>
      </c>
      <c r="L81">
        <f t="shared" si="7"/>
        <v>1</v>
      </c>
      <c r="M81">
        <f t="shared" si="8"/>
        <v>1</v>
      </c>
      <c r="N81" s="6">
        <f t="shared" si="9"/>
        <v>45696</v>
      </c>
    </row>
    <row r="82" spans="1:14" x14ac:dyDescent="0.3">
      <c r="A82">
        <v>929</v>
      </c>
      <c r="B82">
        <v>10020</v>
      </c>
      <c r="C82" t="s">
        <v>952</v>
      </c>
      <c r="D82" t="s">
        <v>23</v>
      </c>
      <c r="E82" t="s">
        <v>16</v>
      </c>
      <c r="F82" t="s">
        <v>12</v>
      </c>
      <c r="G82" t="s">
        <v>18</v>
      </c>
      <c r="H82">
        <v>11734.25</v>
      </c>
      <c r="I82">
        <v>0</v>
      </c>
      <c r="J82" t="str">
        <f t="shared" si="5"/>
        <v>High</v>
      </c>
      <c r="K82" t="str">
        <f t="shared" si="6"/>
        <v>Normal</v>
      </c>
      <c r="L82">
        <f t="shared" si="7"/>
        <v>1</v>
      </c>
      <c r="M82">
        <f t="shared" si="8"/>
        <v>1</v>
      </c>
      <c r="N82" s="6">
        <f t="shared" si="9"/>
        <v>45696</v>
      </c>
    </row>
    <row r="83" spans="1:14" x14ac:dyDescent="0.3">
      <c r="A83">
        <v>930</v>
      </c>
      <c r="B83">
        <v>10069</v>
      </c>
      <c r="C83" t="s">
        <v>953</v>
      </c>
      <c r="D83" t="s">
        <v>10</v>
      </c>
      <c r="E83" t="s">
        <v>11</v>
      </c>
      <c r="F83" t="s">
        <v>12</v>
      </c>
      <c r="G83" t="s">
        <v>25</v>
      </c>
      <c r="H83">
        <v>12796.91</v>
      </c>
      <c r="I83">
        <v>0</v>
      </c>
      <c r="J83" t="str">
        <f t="shared" si="5"/>
        <v>High</v>
      </c>
      <c r="K83" t="str">
        <f t="shared" si="6"/>
        <v>Normal</v>
      </c>
      <c r="L83">
        <f t="shared" si="7"/>
        <v>1</v>
      </c>
      <c r="M83">
        <f t="shared" si="8"/>
        <v>1</v>
      </c>
      <c r="N83" s="6">
        <f t="shared" si="9"/>
        <v>45696</v>
      </c>
    </row>
    <row r="84" spans="1:14" x14ac:dyDescent="0.3">
      <c r="A84">
        <v>931</v>
      </c>
      <c r="B84">
        <v>10000</v>
      </c>
      <c r="C84" t="s">
        <v>954</v>
      </c>
      <c r="D84" t="s">
        <v>29</v>
      </c>
      <c r="E84" t="s">
        <v>16</v>
      </c>
      <c r="F84" t="s">
        <v>17</v>
      </c>
      <c r="G84" t="s">
        <v>31</v>
      </c>
      <c r="H84">
        <v>19009.439999999999</v>
      </c>
      <c r="I84">
        <v>0</v>
      </c>
      <c r="J84" t="str">
        <f t="shared" si="5"/>
        <v>High</v>
      </c>
      <c r="K84" t="str">
        <f t="shared" si="6"/>
        <v>Normal</v>
      </c>
      <c r="L84">
        <f t="shared" si="7"/>
        <v>1</v>
      </c>
      <c r="M84">
        <f t="shared" si="8"/>
        <v>1</v>
      </c>
      <c r="N84" s="6">
        <f t="shared" si="9"/>
        <v>45696</v>
      </c>
    </row>
    <row r="85" spans="1:14" x14ac:dyDescent="0.3">
      <c r="A85">
        <v>932</v>
      </c>
      <c r="B85">
        <v>10004</v>
      </c>
      <c r="C85" t="s">
        <v>955</v>
      </c>
      <c r="D85" t="s">
        <v>10</v>
      </c>
      <c r="E85" t="s">
        <v>24</v>
      </c>
      <c r="F85" t="s">
        <v>12</v>
      </c>
      <c r="G85" t="s">
        <v>25</v>
      </c>
      <c r="H85">
        <v>45987.21</v>
      </c>
      <c r="I85">
        <v>0</v>
      </c>
      <c r="J85" t="str">
        <f t="shared" si="5"/>
        <v>High</v>
      </c>
      <c r="K85" t="str">
        <f t="shared" si="6"/>
        <v>Normal</v>
      </c>
      <c r="L85">
        <f t="shared" si="7"/>
        <v>1</v>
      </c>
      <c r="M85">
        <f t="shared" si="8"/>
        <v>1</v>
      </c>
      <c r="N85" s="6">
        <f t="shared" si="9"/>
        <v>45696</v>
      </c>
    </row>
    <row r="86" spans="1:14" x14ac:dyDescent="0.3">
      <c r="A86">
        <v>933</v>
      </c>
      <c r="B86">
        <v>10011</v>
      </c>
      <c r="C86" t="s">
        <v>956</v>
      </c>
      <c r="D86" t="s">
        <v>20</v>
      </c>
      <c r="E86" t="s">
        <v>24</v>
      </c>
      <c r="F86" t="s">
        <v>17</v>
      </c>
      <c r="G86" t="s">
        <v>18</v>
      </c>
      <c r="H86">
        <v>75237.66</v>
      </c>
      <c r="I86">
        <v>0</v>
      </c>
      <c r="J86" t="str">
        <f t="shared" si="5"/>
        <v>High</v>
      </c>
      <c r="K86" t="str">
        <f t="shared" si="6"/>
        <v>Normal</v>
      </c>
      <c r="L86">
        <f t="shared" si="7"/>
        <v>1</v>
      </c>
      <c r="M86">
        <f t="shared" si="8"/>
        <v>1</v>
      </c>
      <c r="N86" s="6">
        <f t="shared" si="9"/>
        <v>45696</v>
      </c>
    </row>
    <row r="87" spans="1:14" x14ac:dyDescent="0.3">
      <c r="A87">
        <v>934</v>
      </c>
      <c r="B87">
        <v>10089</v>
      </c>
      <c r="C87" t="s">
        <v>957</v>
      </c>
      <c r="D87" t="s">
        <v>15</v>
      </c>
      <c r="E87" t="s">
        <v>16</v>
      </c>
      <c r="F87" t="s">
        <v>12</v>
      </c>
      <c r="G87" t="s">
        <v>18</v>
      </c>
      <c r="H87">
        <v>90563.33</v>
      </c>
      <c r="I87">
        <v>0</v>
      </c>
      <c r="J87" t="str">
        <f t="shared" si="5"/>
        <v>High</v>
      </c>
      <c r="K87" t="str">
        <f t="shared" si="6"/>
        <v>Normal</v>
      </c>
      <c r="L87">
        <f t="shared" si="7"/>
        <v>1</v>
      </c>
      <c r="M87">
        <f t="shared" si="8"/>
        <v>1</v>
      </c>
      <c r="N87" s="6">
        <f t="shared" si="9"/>
        <v>45696</v>
      </c>
    </row>
    <row r="88" spans="1:14" x14ac:dyDescent="0.3">
      <c r="A88">
        <v>935</v>
      </c>
      <c r="B88">
        <v>10045</v>
      </c>
      <c r="C88" t="s">
        <v>958</v>
      </c>
      <c r="D88" t="s">
        <v>15</v>
      </c>
      <c r="E88" t="s">
        <v>11</v>
      </c>
      <c r="F88" t="s">
        <v>12</v>
      </c>
      <c r="G88" t="s">
        <v>13</v>
      </c>
      <c r="H88">
        <v>83553.72</v>
      </c>
      <c r="I88">
        <v>1</v>
      </c>
      <c r="J88" t="str">
        <f t="shared" si="5"/>
        <v>High</v>
      </c>
      <c r="K88" t="str">
        <f t="shared" si="6"/>
        <v>High Risk</v>
      </c>
      <c r="L88">
        <f t="shared" si="7"/>
        <v>1</v>
      </c>
      <c r="M88">
        <f t="shared" si="8"/>
        <v>1</v>
      </c>
      <c r="N88" s="6">
        <f t="shared" si="9"/>
        <v>45696</v>
      </c>
    </row>
    <row r="89" spans="1:14" x14ac:dyDescent="0.3">
      <c r="A89">
        <v>936</v>
      </c>
      <c r="B89">
        <v>10033</v>
      </c>
      <c r="C89" t="s">
        <v>959</v>
      </c>
      <c r="D89" t="s">
        <v>29</v>
      </c>
      <c r="E89" t="s">
        <v>11</v>
      </c>
      <c r="F89" t="s">
        <v>17</v>
      </c>
      <c r="G89" t="s">
        <v>13</v>
      </c>
      <c r="H89">
        <v>19769.099999999999</v>
      </c>
      <c r="I89">
        <v>0</v>
      </c>
      <c r="J89" t="str">
        <f t="shared" si="5"/>
        <v>High</v>
      </c>
      <c r="K89" t="str">
        <f t="shared" si="6"/>
        <v>Normal</v>
      </c>
      <c r="L89">
        <f t="shared" si="7"/>
        <v>1</v>
      </c>
      <c r="M89">
        <f t="shared" si="8"/>
        <v>1</v>
      </c>
      <c r="N89" s="6">
        <f t="shared" si="9"/>
        <v>45696</v>
      </c>
    </row>
    <row r="90" spans="1:14" x14ac:dyDescent="0.3">
      <c r="A90">
        <v>889</v>
      </c>
      <c r="B90">
        <v>10073</v>
      </c>
      <c r="C90" t="s">
        <v>912</v>
      </c>
      <c r="D90" t="s">
        <v>23</v>
      </c>
      <c r="E90" t="s">
        <v>24</v>
      </c>
      <c r="F90" t="s">
        <v>12</v>
      </c>
      <c r="G90" t="s">
        <v>13</v>
      </c>
      <c r="H90">
        <v>17291.39</v>
      </c>
      <c r="I90">
        <v>0</v>
      </c>
      <c r="J90" t="str">
        <f t="shared" si="5"/>
        <v>High</v>
      </c>
      <c r="K90" t="str">
        <f t="shared" si="6"/>
        <v>Normal</v>
      </c>
      <c r="L90">
        <f t="shared" si="7"/>
        <v>1</v>
      </c>
      <c r="M90">
        <f t="shared" si="8"/>
        <v>1</v>
      </c>
      <c r="N90" s="6">
        <f t="shared" si="9"/>
        <v>45695</v>
      </c>
    </row>
    <row r="91" spans="1:14" x14ac:dyDescent="0.3">
      <c r="A91">
        <v>890</v>
      </c>
      <c r="B91">
        <v>10016</v>
      </c>
      <c r="C91" t="s">
        <v>913</v>
      </c>
      <c r="D91" t="s">
        <v>23</v>
      </c>
      <c r="E91" t="s">
        <v>16</v>
      </c>
      <c r="F91" t="s">
        <v>12</v>
      </c>
      <c r="G91" t="s">
        <v>25</v>
      </c>
      <c r="H91">
        <v>87889.05</v>
      </c>
      <c r="I91">
        <v>0</v>
      </c>
      <c r="J91" t="str">
        <f t="shared" si="5"/>
        <v>High</v>
      </c>
      <c r="K91" t="str">
        <f t="shared" si="6"/>
        <v>Normal</v>
      </c>
      <c r="L91">
        <f t="shared" si="7"/>
        <v>1</v>
      </c>
      <c r="M91">
        <f t="shared" si="8"/>
        <v>1</v>
      </c>
      <c r="N91" s="6">
        <f t="shared" si="9"/>
        <v>45695</v>
      </c>
    </row>
    <row r="92" spans="1:14" x14ac:dyDescent="0.3">
      <c r="A92">
        <v>891</v>
      </c>
      <c r="B92">
        <v>10083</v>
      </c>
      <c r="C92" t="s">
        <v>914</v>
      </c>
      <c r="D92" t="s">
        <v>10</v>
      </c>
      <c r="E92" t="s">
        <v>11</v>
      </c>
      <c r="F92" t="s">
        <v>17</v>
      </c>
      <c r="G92" t="s">
        <v>13</v>
      </c>
      <c r="H92">
        <v>55879.4</v>
      </c>
      <c r="I92">
        <v>1</v>
      </c>
      <c r="J92" t="str">
        <f t="shared" si="5"/>
        <v>High</v>
      </c>
      <c r="K92" t="str">
        <f t="shared" si="6"/>
        <v>High Risk</v>
      </c>
      <c r="L92">
        <f t="shared" si="7"/>
        <v>1</v>
      </c>
      <c r="M92">
        <f t="shared" si="8"/>
        <v>1</v>
      </c>
      <c r="N92" s="6">
        <f t="shared" si="9"/>
        <v>45695</v>
      </c>
    </row>
    <row r="93" spans="1:14" x14ac:dyDescent="0.3">
      <c r="A93">
        <v>892</v>
      </c>
      <c r="B93">
        <v>10087</v>
      </c>
      <c r="C93" t="s">
        <v>915</v>
      </c>
      <c r="D93" t="s">
        <v>29</v>
      </c>
      <c r="E93" t="s">
        <v>16</v>
      </c>
      <c r="F93" t="s">
        <v>17</v>
      </c>
      <c r="G93" t="s">
        <v>13</v>
      </c>
      <c r="H93">
        <v>87006.79</v>
      </c>
      <c r="I93">
        <v>0</v>
      </c>
      <c r="J93" t="str">
        <f t="shared" si="5"/>
        <v>High</v>
      </c>
      <c r="K93" t="str">
        <f t="shared" si="6"/>
        <v>Normal</v>
      </c>
      <c r="L93">
        <f t="shared" si="7"/>
        <v>1</v>
      </c>
      <c r="M93">
        <f t="shared" si="8"/>
        <v>1</v>
      </c>
      <c r="N93" s="6">
        <f t="shared" si="9"/>
        <v>45695</v>
      </c>
    </row>
    <row r="94" spans="1:14" x14ac:dyDescent="0.3">
      <c r="A94">
        <v>893</v>
      </c>
      <c r="B94">
        <v>10068</v>
      </c>
      <c r="C94" t="s">
        <v>916</v>
      </c>
      <c r="D94" t="s">
        <v>20</v>
      </c>
      <c r="E94" t="s">
        <v>24</v>
      </c>
      <c r="F94" t="s">
        <v>12</v>
      </c>
      <c r="G94" t="s">
        <v>13</v>
      </c>
      <c r="H94">
        <v>37217.5</v>
      </c>
      <c r="I94">
        <v>0</v>
      </c>
      <c r="J94" t="str">
        <f t="shared" si="5"/>
        <v>High</v>
      </c>
      <c r="K94" t="str">
        <f t="shared" si="6"/>
        <v>Normal</v>
      </c>
      <c r="L94">
        <f t="shared" si="7"/>
        <v>1</v>
      </c>
      <c r="M94">
        <f t="shared" si="8"/>
        <v>1</v>
      </c>
      <c r="N94" s="6">
        <f t="shared" si="9"/>
        <v>45695</v>
      </c>
    </row>
    <row r="95" spans="1:14" x14ac:dyDescent="0.3">
      <c r="A95">
        <v>894</v>
      </c>
      <c r="B95">
        <v>10033</v>
      </c>
      <c r="C95" t="s">
        <v>917</v>
      </c>
      <c r="D95" t="s">
        <v>23</v>
      </c>
      <c r="E95" t="s">
        <v>11</v>
      </c>
      <c r="F95" t="s">
        <v>17</v>
      </c>
      <c r="G95" t="s">
        <v>25</v>
      </c>
      <c r="H95">
        <v>61478.559999999998</v>
      </c>
      <c r="I95">
        <v>1</v>
      </c>
      <c r="J95" t="str">
        <f t="shared" si="5"/>
        <v>High</v>
      </c>
      <c r="K95" t="str">
        <f t="shared" si="6"/>
        <v>High Risk</v>
      </c>
      <c r="L95">
        <f t="shared" si="7"/>
        <v>1</v>
      </c>
      <c r="M95">
        <f t="shared" si="8"/>
        <v>1</v>
      </c>
      <c r="N95" s="6">
        <f t="shared" si="9"/>
        <v>45695</v>
      </c>
    </row>
    <row r="96" spans="1:14" x14ac:dyDescent="0.3">
      <c r="A96">
        <v>895</v>
      </c>
      <c r="B96">
        <v>10005</v>
      </c>
      <c r="C96" t="s">
        <v>918</v>
      </c>
      <c r="D96" t="s">
        <v>29</v>
      </c>
      <c r="E96" t="s">
        <v>11</v>
      </c>
      <c r="F96" t="s">
        <v>17</v>
      </c>
      <c r="G96" t="s">
        <v>21</v>
      </c>
      <c r="H96">
        <v>52413.98</v>
      </c>
      <c r="I96">
        <v>1</v>
      </c>
      <c r="J96" t="str">
        <f t="shared" si="5"/>
        <v>High</v>
      </c>
      <c r="K96" t="str">
        <f t="shared" si="6"/>
        <v>High Risk</v>
      </c>
      <c r="L96">
        <f t="shared" si="7"/>
        <v>1</v>
      </c>
      <c r="M96">
        <f t="shared" si="8"/>
        <v>1</v>
      </c>
      <c r="N96" s="6">
        <f t="shared" si="9"/>
        <v>45695</v>
      </c>
    </row>
    <row r="97" spans="1:14" x14ac:dyDescent="0.3">
      <c r="A97">
        <v>896</v>
      </c>
      <c r="B97">
        <v>10052</v>
      </c>
      <c r="C97" t="s">
        <v>919</v>
      </c>
      <c r="D97" t="s">
        <v>10</v>
      </c>
      <c r="E97" t="s">
        <v>24</v>
      </c>
      <c r="F97" t="s">
        <v>17</v>
      </c>
      <c r="G97" t="s">
        <v>21</v>
      </c>
      <c r="H97">
        <v>31980.44</v>
      </c>
      <c r="I97">
        <v>0</v>
      </c>
      <c r="J97" t="str">
        <f t="shared" si="5"/>
        <v>High</v>
      </c>
      <c r="K97" t="str">
        <f t="shared" si="6"/>
        <v>Normal</v>
      </c>
      <c r="L97">
        <f t="shared" si="7"/>
        <v>1</v>
      </c>
      <c r="M97">
        <f t="shared" si="8"/>
        <v>1</v>
      </c>
      <c r="N97" s="6">
        <f t="shared" si="9"/>
        <v>45695</v>
      </c>
    </row>
    <row r="98" spans="1:14" x14ac:dyDescent="0.3">
      <c r="A98">
        <v>897</v>
      </c>
      <c r="B98">
        <v>10065</v>
      </c>
      <c r="C98" t="s">
        <v>920</v>
      </c>
      <c r="D98" t="s">
        <v>29</v>
      </c>
      <c r="E98" t="s">
        <v>24</v>
      </c>
      <c r="F98" t="s">
        <v>17</v>
      </c>
      <c r="G98" t="s">
        <v>31</v>
      </c>
      <c r="H98">
        <v>47044.55</v>
      </c>
      <c r="I98">
        <v>0</v>
      </c>
      <c r="J98" t="str">
        <f t="shared" si="5"/>
        <v>High</v>
      </c>
      <c r="K98" t="str">
        <f t="shared" si="6"/>
        <v>Normal</v>
      </c>
      <c r="L98">
        <f t="shared" si="7"/>
        <v>1</v>
      </c>
      <c r="M98">
        <f t="shared" si="8"/>
        <v>1</v>
      </c>
      <c r="N98" s="6">
        <f t="shared" si="9"/>
        <v>45695</v>
      </c>
    </row>
    <row r="99" spans="1:14" x14ac:dyDescent="0.3">
      <c r="A99">
        <v>898</v>
      </c>
      <c r="B99">
        <v>10076</v>
      </c>
      <c r="C99" t="s">
        <v>921</v>
      </c>
      <c r="D99" t="s">
        <v>15</v>
      </c>
      <c r="E99" t="s">
        <v>24</v>
      </c>
      <c r="F99" t="s">
        <v>17</v>
      </c>
      <c r="G99" t="s">
        <v>31</v>
      </c>
      <c r="H99">
        <v>50298.84</v>
      </c>
      <c r="I99">
        <v>0</v>
      </c>
      <c r="J99" t="str">
        <f t="shared" si="5"/>
        <v>High</v>
      </c>
      <c r="K99" t="str">
        <f t="shared" si="6"/>
        <v>Normal</v>
      </c>
      <c r="L99">
        <f t="shared" si="7"/>
        <v>1</v>
      </c>
      <c r="M99">
        <f t="shared" si="8"/>
        <v>1</v>
      </c>
      <c r="N99" s="6">
        <f t="shared" si="9"/>
        <v>45695</v>
      </c>
    </row>
    <row r="100" spans="1:14" x14ac:dyDescent="0.3">
      <c r="A100">
        <v>899</v>
      </c>
      <c r="B100">
        <v>10042</v>
      </c>
      <c r="C100" t="s">
        <v>922</v>
      </c>
      <c r="D100" t="s">
        <v>23</v>
      </c>
      <c r="E100" t="s">
        <v>24</v>
      </c>
      <c r="F100" t="s">
        <v>17</v>
      </c>
      <c r="G100" t="s">
        <v>25</v>
      </c>
      <c r="H100">
        <v>20157.02</v>
      </c>
      <c r="I100">
        <v>0</v>
      </c>
      <c r="J100" t="str">
        <f t="shared" si="5"/>
        <v>High</v>
      </c>
      <c r="K100" t="str">
        <f t="shared" si="6"/>
        <v>Normal</v>
      </c>
      <c r="L100">
        <f t="shared" si="7"/>
        <v>1</v>
      </c>
      <c r="M100">
        <f t="shared" si="8"/>
        <v>1</v>
      </c>
      <c r="N100" s="6">
        <f t="shared" si="9"/>
        <v>45695</v>
      </c>
    </row>
    <row r="101" spans="1:14" x14ac:dyDescent="0.3">
      <c r="A101">
        <v>900</v>
      </c>
      <c r="B101">
        <v>10074</v>
      </c>
      <c r="C101" t="s">
        <v>923</v>
      </c>
      <c r="D101" t="s">
        <v>10</v>
      </c>
      <c r="E101" t="s">
        <v>24</v>
      </c>
      <c r="F101" t="s">
        <v>17</v>
      </c>
      <c r="G101" t="s">
        <v>18</v>
      </c>
      <c r="H101">
        <v>31569.54</v>
      </c>
      <c r="I101">
        <v>0</v>
      </c>
      <c r="J101" t="str">
        <f t="shared" si="5"/>
        <v>High</v>
      </c>
      <c r="K101" t="str">
        <f t="shared" si="6"/>
        <v>Normal</v>
      </c>
      <c r="L101">
        <f t="shared" si="7"/>
        <v>1</v>
      </c>
      <c r="M101">
        <f t="shared" si="8"/>
        <v>1</v>
      </c>
      <c r="N101" s="6">
        <f t="shared" si="9"/>
        <v>45695</v>
      </c>
    </row>
    <row r="102" spans="1:14" x14ac:dyDescent="0.3">
      <c r="A102">
        <v>901</v>
      </c>
      <c r="B102">
        <v>10022</v>
      </c>
      <c r="C102" t="s">
        <v>924</v>
      </c>
      <c r="D102" t="s">
        <v>20</v>
      </c>
      <c r="E102" t="s">
        <v>11</v>
      </c>
      <c r="F102" t="s">
        <v>12</v>
      </c>
      <c r="G102" t="s">
        <v>21</v>
      </c>
      <c r="H102">
        <v>79161.83</v>
      </c>
      <c r="I102">
        <v>1</v>
      </c>
      <c r="J102" t="str">
        <f t="shared" si="5"/>
        <v>High</v>
      </c>
      <c r="K102" t="str">
        <f t="shared" si="6"/>
        <v>High Risk</v>
      </c>
      <c r="L102">
        <f t="shared" si="7"/>
        <v>1</v>
      </c>
      <c r="M102">
        <f t="shared" si="8"/>
        <v>1</v>
      </c>
      <c r="N102" s="6">
        <f t="shared" si="9"/>
        <v>45695</v>
      </c>
    </row>
    <row r="103" spans="1:14" x14ac:dyDescent="0.3">
      <c r="A103">
        <v>902</v>
      </c>
      <c r="B103">
        <v>10054</v>
      </c>
      <c r="C103" t="s">
        <v>925</v>
      </c>
      <c r="D103" t="s">
        <v>10</v>
      </c>
      <c r="E103" t="s">
        <v>24</v>
      </c>
      <c r="F103" t="s">
        <v>17</v>
      </c>
      <c r="G103" t="s">
        <v>31</v>
      </c>
      <c r="H103">
        <v>91587.25</v>
      </c>
      <c r="I103">
        <v>0</v>
      </c>
      <c r="J103" t="str">
        <f t="shared" si="5"/>
        <v>High</v>
      </c>
      <c r="K103" t="str">
        <f t="shared" si="6"/>
        <v>Normal</v>
      </c>
      <c r="L103">
        <f t="shared" si="7"/>
        <v>1</v>
      </c>
      <c r="M103">
        <f t="shared" si="8"/>
        <v>1</v>
      </c>
      <c r="N103" s="6">
        <f t="shared" si="9"/>
        <v>45695</v>
      </c>
    </row>
    <row r="104" spans="1:14" x14ac:dyDescent="0.3">
      <c r="A104">
        <v>903</v>
      </c>
      <c r="B104">
        <v>10079</v>
      </c>
      <c r="C104" t="s">
        <v>926</v>
      </c>
      <c r="D104" t="s">
        <v>20</v>
      </c>
      <c r="E104" t="s">
        <v>11</v>
      </c>
      <c r="F104" t="s">
        <v>17</v>
      </c>
      <c r="G104" t="s">
        <v>21</v>
      </c>
      <c r="H104">
        <v>36043.43</v>
      </c>
      <c r="I104">
        <v>0</v>
      </c>
      <c r="J104" t="str">
        <f t="shared" si="5"/>
        <v>High</v>
      </c>
      <c r="K104" t="str">
        <f t="shared" si="6"/>
        <v>Normal</v>
      </c>
      <c r="L104">
        <f t="shared" si="7"/>
        <v>1</v>
      </c>
      <c r="M104">
        <f t="shared" si="8"/>
        <v>1</v>
      </c>
      <c r="N104" s="6">
        <f t="shared" si="9"/>
        <v>45695</v>
      </c>
    </row>
    <row r="105" spans="1:14" x14ac:dyDescent="0.3">
      <c r="A105">
        <v>904</v>
      </c>
      <c r="B105">
        <v>10094</v>
      </c>
      <c r="C105" t="s">
        <v>927</v>
      </c>
      <c r="D105" t="s">
        <v>10</v>
      </c>
      <c r="E105" t="s">
        <v>11</v>
      </c>
      <c r="F105" t="s">
        <v>17</v>
      </c>
      <c r="G105" t="s">
        <v>25</v>
      </c>
      <c r="H105">
        <v>30766.53</v>
      </c>
      <c r="I105">
        <v>0</v>
      </c>
      <c r="J105" t="str">
        <f t="shared" si="5"/>
        <v>High</v>
      </c>
      <c r="K105" t="str">
        <f t="shared" si="6"/>
        <v>Normal</v>
      </c>
      <c r="L105">
        <f t="shared" si="7"/>
        <v>1</v>
      </c>
      <c r="M105">
        <f t="shared" si="8"/>
        <v>1</v>
      </c>
      <c r="N105" s="6">
        <f t="shared" si="9"/>
        <v>45695</v>
      </c>
    </row>
    <row r="106" spans="1:14" x14ac:dyDescent="0.3">
      <c r="A106">
        <v>905</v>
      </c>
      <c r="B106">
        <v>10074</v>
      </c>
      <c r="C106" t="s">
        <v>928</v>
      </c>
      <c r="D106" t="s">
        <v>29</v>
      </c>
      <c r="E106" t="s">
        <v>24</v>
      </c>
      <c r="F106" t="s">
        <v>17</v>
      </c>
      <c r="G106" t="s">
        <v>25</v>
      </c>
      <c r="H106">
        <v>19600.2</v>
      </c>
      <c r="I106">
        <v>0</v>
      </c>
      <c r="J106" t="str">
        <f t="shared" si="5"/>
        <v>High</v>
      </c>
      <c r="K106" t="str">
        <f t="shared" si="6"/>
        <v>Normal</v>
      </c>
      <c r="L106">
        <f t="shared" si="7"/>
        <v>1</v>
      </c>
      <c r="M106">
        <f t="shared" si="8"/>
        <v>1</v>
      </c>
      <c r="N106" s="6">
        <f t="shared" si="9"/>
        <v>45695</v>
      </c>
    </row>
    <row r="107" spans="1:14" x14ac:dyDescent="0.3">
      <c r="A107">
        <v>906</v>
      </c>
      <c r="B107">
        <v>10015</v>
      </c>
      <c r="C107" t="s">
        <v>929</v>
      </c>
      <c r="D107" t="s">
        <v>29</v>
      </c>
      <c r="E107" t="s">
        <v>24</v>
      </c>
      <c r="F107" t="s">
        <v>17</v>
      </c>
      <c r="G107" t="s">
        <v>18</v>
      </c>
      <c r="H107">
        <v>67881.27</v>
      </c>
      <c r="I107">
        <v>0</v>
      </c>
      <c r="J107" t="str">
        <f t="shared" si="5"/>
        <v>High</v>
      </c>
      <c r="K107" t="str">
        <f t="shared" si="6"/>
        <v>Normal</v>
      </c>
      <c r="L107">
        <f t="shared" si="7"/>
        <v>1</v>
      </c>
      <c r="M107">
        <f t="shared" si="8"/>
        <v>1</v>
      </c>
      <c r="N107" s="6">
        <f t="shared" si="9"/>
        <v>45695</v>
      </c>
    </row>
    <row r="108" spans="1:14" x14ac:dyDescent="0.3">
      <c r="A108">
        <v>907</v>
      </c>
      <c r="B108">
        <v>10007</v>
      </c>
      <c r="C108" t="s">
        <v>930</v>
      </c>
      <c r="D108" t="s">
        <v>29</v>
      </c>
      <c r="E108" t="s">
        <v>11</v>
      </c>
      <c r="F108" t="s">
        <v>17</v>
      </c>
      <c r="G108" t="s">
        <v>18</v>
      </c>
      <c r="H108">
        <v>32377.66</v>
      </c>
      <c r="I108">
        <v>0</v>
      </c>
      <c r="J108" t="str">
        <f t="shared" si="5"/>
        <v>High</v>
      </c>
      <c r="K108" t="str">
        <f t="shared" si="6"/>
        <v>Normal</v>
      </c>
      <c r="L108">
        <f t="shared" si="7"/>
        <v>1</v>
      </c>
      <c r="M108">
        <f t="shared" si="8"/>
        <v>1</v>
      </c>
      <c r="N108" s="6">
        <f t="shared" si="9"/>
        <v>45695</v>
      </c>
    </row>
    <row r="109" spans="1:14" x14ac:dyDescent="0.3">
      <c r="A109">
        <v>908</v>
      </c>
      <c r="B109">
        <v>10003</v>
      </c>
      <c r="C109" t="s">
        <v>931</v>
      </c>
      <c r="D109" t="s">
        <v>15</v>
      </c>
      <c r="E109" t="s">
        <v>24</v>
      </c>
      <c r="F109" t="s">
        <v>17</v>
      </c>
      <c r="G109" t="s">
        <v>25</v>
      </c>
      <c r="H109">
        <v>98776.18</v>
      </c>
      <c r="I109">
        <v>0</v>
      </c>
      <c r="J109" t="str">
        <f t="shared" si="5"/>
        <v>High</v>
      </c>
      <c r="K109" t="str">
        <f t="shared" si="6"/>
        <v>Normal</v>
      </c>
      <c r="L109">
        <f t="shared" si="7"/>
        <v>1</v>
      </c>
      <c r="M109">
        <f t="shared" si="8"/>
        <v>1</v>
      </c>
      <c r="N109" s="6">
        <f t="shared" si="9"/>
        <v>45695</v>
      </c>
    </row>
    <row r="110" spans="1:14" x14ac:dyDescent="0.3">
      <c r="A110">
        <v>909</v>
      </c>
      <c r="B110">
        <v>10003</v>
      </c>
      <c r="C110" t="s">
        <v>932</v>
      </c>
      <c r="D110" t="s">
        <v>20</v>
      </c>
      <c r="E110" t="s">
        <v>24</v>
      </c>
      <c r="F110" t="s">
        <v>17</v>
      </c>
      <c r="G110" t="s">
        <v>31</v>
      </c>
      <c r="H110">
        <v>32635.91</v>
      </c>
      <c r="I110">
        <v>0</v>
      </c>
      <c r="J110" t="str">
        <f t="shared" si="5"/>
        <v>High</v>
      </c>
      <c r="K110" t="str">
        <f t="shared" si="6"/>
        <v>Normal</v>
      </c>
      <c r="L110">
        <f t="shared" si="7"/>
        <v>1</v>
      </c>
      <c r="M110">
        <f t="shared" si="8"/>
        <v>1</v>
      </c>
      <c r="N110" s="6">
        <f t="shared" si="9"/>
        <v>45695</v>
      </c>
    </row>
    <row r="111" spans="1:14" x14ac:dyDescent="0.3">
      <c r="A111">
        <v>910</v>
      </c>
      <c r="B111">
        <v>10055</v>
      </c>
      <c r="C111" t="s">
        <v>933</v>
      </c>
      <c r="D111" t="s">
        <v>29</v>
      </c>
      <c r="E111" t="s">
        <v>24</v>
      </c>
      <c r="F111" t="s">
        <v>12</v>
      </c>
      <c r="G111" t="s">
        <v>21</v>
      </c>
      <c r="H111">
        <v>39474.19</v>
      </c>
      <c r="I111">
        <v>0</v>
      </c>
      <c r="J111" t="str">
        <f t="shared" si="5"/>
        <v>High</v>
      </c>
      <c r="K111" t="str">
        <f t="shared" si="6"/>
        <v>Normal</v>
      </c>
      <c r="L111">
        <f t="shared" si="7"/>
        <v>1</v>
      </c>
      <c r="M111">
        <f t="shared" si="8"/>
        <v>1</v>
      </c>
      <c r="N111" s="6">
        <f t="shared" si="9"/>
        <v>45695</v>
      </c>
    </row>
    <row r="112" spans="1:14" x14ac:dyDescent="0.3">
      <c r="A112">
        <v>911</v>
      </c>
      <c r="B112">
        <v>10024</v>
      </c>
      <c r="C112" t="s">
        <v>934</v>
      </c>
      <c r="D112" t="s">
        <v>15</v>
      </c>
      <c r="E112" t="s">
        <v>16</v>
      </c>
      <c r="F112" t="s">
        <v>17</v>
      </c>
      <c r="G112" t="s">
        <v>13</v>
      </c>
      <c r="H112">
        <v>60373.09</v>
      </c>
      <c r="I112">
        <v>0</v>
      </c>
      <c r="J112" t="str">
        <f t="shared" si="5"/>
        <v>High</v>
      </c>
      <c r="K112" t="str">
        <f t="shared" si="6"/>
        <v>Normal</v>
      </c>
      <c r="L112">
        <f t="shared" si="7"/>
        <v>1</v>
      </c>
      <c r="M112">
        <f t="shared" si="8"/>
        <v>1</v>
      </c>
      <c r="N112" s="6">
        <f t="shared" si="9"/>
        <v>45695</v>
      </c>
    </row>
    <row r="113" spans="1:14" x14ac:dyDescent="0.3">
      <c r="A113">
        <v>912</v>
      </c>
      <c r="B113">
        <v>10066</v>
      </c>
      <c r="C113" t="s">
        <v>935</v>
      </c>
      <c r="D113" t="s">
        <v>20</v>
      </c>
      <c r="E113" t="s">
        <v>11</v>
      </c>
      <c r="F113" t="s">
        <v>17</v>
      </c>
      <c r="G113" t="s">
        <v>18</v>
      </c>
      <c r="H113">
        <v>80188.259999999995</v>
      </c>
      <c r="I113">
        <v>1</v>
      </c>
      <c r="J113" t="str">
        <f t="shared" si="5"/>
        <v>High</v>
      </c>
      <c r="K113" t="str">
        <f t="shared" si="6"/>
        <v>High Risk</v>
      </c>
      <c r="L113">
        <f t="shared" si="7"/>
        <v>1</v>
      </c>
      <c r="M113">
        <f t="shared" si="8"/>
        <v>1</v>
      </c>
      <c r="N113" s="6">
        <f t="shared" si="9"/>
        <v>45695</v>
      </c>
    </row>
    <row r="114" spans="1:14" x14ac:dyDescent="0.3">
      <c r="A114">
        <v>865</v>
      </c>
      <c r="B114">
        <v>10037</v>
      </c>
      <c r="C114" t="s">
        <v>888</v>
      </c>
      <c r="D114" t="s">
        <v>15</v>
      </c>
      <c r="E114" t="s">
        <v>24</v>
      </c>
      <c r="F114" t="s">
        <v>12</v>
      </c>
      <c r="G114" t="s">
        <v>21</v>
      </c>
      <c r="H114">
        <v>13622.01</v>
      </c>
      <c r="I114">
        <v>0</v>
      </c>
      <c r="J114" t="str">
        <f t="shared" si="5"/>
        <v>High</v>
      </c>
      <c r="K114" t="str">
        <f t="shared" si="6"/>
        <v>Normal</v>
      </c>
      <c r="L114">
        <f t="shared" si="7"/>
        <v>1</v>
      </c>
      <c r="M114">
        <f t="shared" si="8"/>
        <v>1</v>
      </c>
      <c r="N114" s="6">
        <f t="shared" si="9"/>
        <v>45694</v>
      </c>
    </row>
    <row r="115" spans="1:14" x14ac:dyDescent="0.3">
      <c r="A115">
        <v>866</v>
      </c>
      <c r="B115">
        <v>10049</v>
      </c>
      <c r="C115" t="s">
        <v>889</v>
      </c>
      <c r="D115" t="s">
        <v>29</v>
      </c>
      <c r="E115" t="s">
        <v>11</v>
      </c>
      <c r="F115" t="s">
        <v>12</v>
      </c>
      <c r="G115" t="s">
        <v>31</v>
      </c>
      <c r="H115">
        <v>19844.16</v>
      </c>
      <c r="I115">
        <v>0</v>
      </c>
      <c r="J115" t="str">
        <f t="shared" si="5"/>
        <v>High</v>
      </c>
      <c r="K115" t="str">
        <f t="shared" si="6"/>
        <v>Normal</v>
      </c>
      <c r="L115">
        <f t="shared" si="7"/>
        <v>1</v>
      </c>
      <c r="M115">
        <f t="shared" si="8"/>
        <v>1</v>
      </c>
      <c r="N115" s="6">
        <f t="shared" si="9"/>
        <v>45694</v>
      </c>
    </row>
    <row r="116" spans="1:14" x14ac:dyDescent="0.3">
      <c r="A116">
        <v>867</v>
      </c>
      <c r="B116">
        <v>10097</v>
      </c>
      <c r="C116" t="s">
        <v>890</v>
      </c>
      <c r="D116" t="s">
        <v>10</v>
      </c>
      <c r="E116" t="s">
        <v>11</v>
      </c>
      <c r="F116" t="s">
        <v>17</v>
      </c>
      <c r="G116" t="s">
        <v>31</v>
      </c>
      <c r="H116">
        <v>18133.77</v>
      </c>
      <c r="I116">
        <v>0</v>
      </c>
      <c r="J116" t="str">
        <f t="shared" si="5"/>
        <v>High</v>
      </c>
      <c r="K116" t="str">
        <f t="shared" si="6"/>
        <v>Normal</v>
      </c>
      <c r="L116">
        <f t="shared" si="7"/>
        <v>1</v>
      </c>
      <c r="M116">
        <f t="shared" si="8"/>
        <v>1</v>
      </c>
      <c r="N116" s="6">
        <f t="shared" si="9"/>
        <v>45694</v>
      </c>
    </row>
    <row r="117" spans="1:14" x14ac:dyDescent="0.3">
      <c r="A117">
        <v>868</v>
      </c>
      <c r="B117">
        <v>10081</v>
      </c>
      <c r="C117" t="s">
        <v>891</v>
      </c>
      <c r="D117" t="s">
        <v>29</v>
      </c>
      <c r="E117" t="s">
        <v>16</v>
      </c>
      <c r="F117" t="s">
        <v>17</v>
      </c>
      <c r="G117" t="s">
        <v>31</v>
      </c>
      <c r="H117">
        <v>26320.81</v>
      </c>
      <c r="I117">
        <v>0</v>
      </c>
      <c r="J117" t="str">
        <f t="shared" si="5"/>
        <v>High</v>
      </c>
      <c r="K117" t="str">
        <f t="shared" si="6"/>
        <v>Normal</v>
      </c>
      <c r="L117">
        <f t="shared" si="7"/>
        <v>1</v>
      </c>
      <c r="M117">
        <f t="shared" si="8"/>
        <v>1</v>
      </c>
      <c r="N117" s="6">
        <f t="shared" si="9"/>
        <v>45694</v>
      </c>
    </row>
    <row r="118" spans="1:14" x14ac:dyDescent="0.3">
      <c r="A118">
        <v>869</v>
      </c>
      <c r="B118">
        <v>10029</v>
      </c>
      <c r="C118" t="s">
        <v>892</v>
      </c>
      <c r="D118" t="s">
        <v>20</v>
      </c>
      <c r="E118" t="s">
        <v>16</v>
      </c>
      <c r="F118" t="s">
        <v>12</v>
      </c>
      <c r="G118" t="s">
        <v>21</v>
      </c>
      <c r="H118">
        <v>52573.32</v>
      </c>
      <c r="I118">
        <v>0</v>
      </c>
      <c r="J118" t="str">
        <f t="shared" si="5"/>
        <v>High</v>
      </c>
      <c r="K118" t="str">
        <f t="shared" si="6"/>
        <v>Normal</v>
      </c>
      <c r="L118">
        <f t="shared" si="7"/>
        <v>1</v>
      </c>
      <c r="M118">
        <f t="shared" si="8"/>
        <v>1</v>
      </c>
      <c r="N118" s="6">
        <f t="shared" si="9"/>
        <v>45694</v>
      </c>
    </row>
    <row r="119" spans="1:14" x14ac:dyDescent="0.3">
      <c r="A119">
        <v>870</v>
      </c>
      <c r="B119">
        <v>10078</v>
      </c>
      <c r="C119" t="s">
        <v>893</v>
      </c>
      <c r="D119" t="s">
        <v>29</v>
      </c>
      <c r="E119" t="s">
        <v>11</v>
      </c>
      <c r="F119" t="s">
        <v>12</v>
      </c>
      <c r="G119" t="s">
        <v>21</v>
      </c>
      <c r="H119">
        <v>11209.75</v>
      </c>
      <c r="I119">
        <v>0</v>
      </c>
      <c r="J119" t="str">
        <f t="shared" si="5"/>
        <v>High</v>
      </c>
      <c r="K119" t="str">
        <f t="shared" si="6"/>
        <v>Normal</v>
      </c>
      <c r="L119">
        <f t="shared" si="7"/>
        <v>1</v>
      </c>
      <c r="M119">
        <f t="shared" si="8"/>
        <v>1</v>
      </c>
      <c r="N119" s="6">
        <f t="shared" si="9"/>
        <v>45694</v>
      </c>
    </row>
    <row r="120" spans="1:14" x14ac:dyDescent="0.3">
      <c r="A120">
        <v>871</v>
      </c>
      <c r="B120">
        <v>10090</v>
      </c>
      <c r="C120" t="s">
        <v>894</v>
      </c>
      <c r="D120" t="s">
        <v>20</v>
      </c>
      <c r="E120" t="s">
        <v>11</v>
      </c>
      <c r="F120" t="s">
        <v>12</v>
      </c>
      <c r="G120" t="s">
        <v>18</v>
      </c>
      <c r="H120">
        <v>86830.11</v>
      </c>
      <c r="I120">
        <v>1</v>
      </c>
      <c r="J120" t="str">
        <f t="shared" si="5"/>
        <v>High</v>
      </c>
      <c r="K120" t="str">
        <f t="shared" si="6"/>
        <v>High Risk</v>
      </c>
      <c r="L120">
        <f t="shared" si="7"/>
        <v>1</v>
      </c>
      <c r="M120">
        <f t="shared" si="8"/>
        <v>1</v>
      </c>
      <c r="N120" s="6">
        <f t="shared" si="9"/>
        <v>45694</v>
      </c>
    </row>
    <row r="121" spans="1:14" x14ac:dyDescent="0.3">
      <c r="A121">
        <v>872</v>
      </c>
      <c r="B121">
        <v>10050</v>
      </c>
      <c r="C121" t="s">
        <v>895</v>
      </c>
      <c r="D121" t="s">
        <v>20</v>
      </c>
      <c r="E121" t="s">
        <v>11</v>
      </c>
      <c r="F121" t="s">
        <v>12</v>
      </c>
      <c r="G121" t="s">
        <v>25</v>
      </c>
      <c r="H121">
        <v>29806.42</v>
      </c>
      <c r="I121">
        <v>0</v>
      </c>
      <c r="J121" t="str">
        <f t="shared" si="5"/>
        <v>High</v>
      </c>
      <c r="K121" t="str">
        <f t="shared" si="6"/>
        <v>Normal</v>
      </c>
      <c r="L121">
        <f t="shared" si="7"/>
        <v>1</v>
      </c>
      <c r="M121">
        <f t="shared" si="8"/>
        <v>1</v>
      </c>
      <c r="N121" s="6">
        <f t="shared" si="9"/>
        <v>45694</v>
      </c>
    </row>
    <row r="122" spans="1:14" x14ac:dyDescent="0.3">
      <c r="A122">
        <v>873</v>
      </c>
      <c r="B122">
        <v>10062</v>
      </c>
      <c r="C122" t="s">
        <v>896</v>
      </c>
      <c r="D122" t="s">
        <v>20</v>
      </c>
      <c r="E122" t="s">
        <v>11</v>
      </c>
      <c r="F122" t="s">
        <v>12</v>
      </c>
      <c r="G122" t="s">
        <v>25</v>
      </c>
      <c r="H122">
        <v>16337.54</v>
      </c>
      <c r="I122">
        <v>0</v>
      </c>
      <c r="J122" t="str">
        <f t="shared" si="5"/>
        <v>High</v>
      </c>
      <c r="K122" t="str">
        <f t="shared" si="6"/>
        <v>Normal</v>
      </c>
      <c r="L122">
        <f t="shared" si="7"/>
        <v>1</v>
      </c>
      <c r="M122">
        <f t="shared" si="8"/>
        <v>1</v>
      </c>
      <c r="N122" s="6">
        <f t="shared" si="9"/>
        <v>45694</v>
      </c>
    </row>
    <row r="123" spans="1:14" x14ac:dyDescent="0.3">
      <c r="A123">
        <v>874</v>
      </c>
      <c r="B123">
        <v>10097</v>
      </c>
      <c r="C123" t="s">
        <v>897</v>
      </c>
      <c r="D123" t="s">
        <v>20</v>
      </c>
      <c r="E123" t="s">
        <v>11</v>
      </c>
      <c r="F123" t="s">
        <v>12</v>
      </c>
      <c r="G123" t="s">
        <v>18</v>
      </c>
      <c r="H123">
        <v>67594.570000000007</v>
      </c>
      <c r="I123">
        <v>1</v>
      </c>
      <c r="J123" t="str">
        <f t="shared" si="5"/>
        <v>High</v>
      </c>
      <c r="K123" t="str">
        <f t="shared" si="6"/>
        <v>High Risk</v>
      </c>
      <c r="L123">
        <f t="shared" si="7"/>
        <v>1</v>
      </c>
      <c r="M123">
        <f t="shared" si="8"/>
        <v>1</v>
      </c>
      <c r="N123" s="6">
        <f t="shared" si="9"/>
        <v>45694</v>
      </c>
    </row>
    <row r="124" spans="1:14" x14ac:dyDescent="0.3">
      <c r="A124">
        <v>875</v>
      </c>
      <c r="B124">
        <v>10051</v>
      </c>
      <c r="C124" t="s">
        <v>898</v>
      </c>
      <c r="D124" t="s">
        <v>20</v>
      </c>
      <c r="E124" t="s">
        <v>11</v>
      </c>
      <c r="F124" t="s">
        <v>12</v>
      </c>
      <c r="G124" t="s">
        <v>18</v>
      </c>
      <c r="H124">
        <v>3904.82</v>
      </c>
      <c r="I124">
        <v>0</v>
      </c>
      <c r="J124" t="str">
        <f t="shared" si="5"/>
        <v>High</v>
      </c>
      <c r="K124" t="str">
        <f t="shared" si="6"/>
        <v>Normal</v>
      </c>
      <c r="L124">
        <f t="shared" si="7"/>
        <v>1</v>
      </c>
      <c r="M124">
        <f t="shared" si="8"/>
        <v>1</v>
      </c>
      <c r="N124" s="6">
        <f t="shared" si="9"/>
        <v>45694</v>
      </c>
    </row>
    <row r="125" spans="1:14" x14ac:dyDescent="0.3">
      <c r="A125">
        <v>876</v>
      </c>
      <c r="B125">
        <v>10037</v>
      </c>
      <c r="C125" t="s">
        <v>899</v>
      </c>
      <c r="D125" t="s">
        <v>10</v>
      </c>
      <c r="E125" t="s">
        <v>24</v>
      </c>
      <c r="F125" t="s">
        <v>12</v>
      </c>
      <c r="G125" t="s">
        <v>31</v>
      </c>
      <c r="H125">
        <v>62034.86</v>
      </c>
      <c r="I125">
        <v>0</v>
      </c>
      <c r="J125" t="str">
        <f t="shared" si="5"/>
        <v>High</v>
      </c>
      <c r="K125" t="str">
        <f t="shared" si="6"/>
        <v>Normal</v>
      </c>
      <c r="L125">
        <f t="shared" si="7"/>
        <v>1</v>
      </c>
      <c r="M125">
        <f t="shared" si="8"/>
        <v>1</v>
      </c>
      <c r="N125" s="6">
        <f t="shared" si="9"/>
        <v>45694</v>
      </c>
    </row>
    <row r="126" spans="1:14" x14ac:dyDescent="0.3">
      <c r="A126">
        <v>877</v>
      </c>
      <c r="B126">
        <v>10096</v>
      </c>
      <c r="C126" t="s">
        <v>900</v>
      </c>
      <c r="D126" t="s">
        <v>15</v>
      </c>
      <c r="E126" t="s">
        <v>11</v>
      </c>
      <c r="F126" t="s">
        <v>12</v>
      </c>
      <c r="G126" t="s">
        <v>18</v>
      </c>
      <c r="H126">
        <v>69850.02</v>
      </c>
      <c r="I126">
        <v>1</v>
      </c>
      <c r="J126" t="str">
        <f t="shared" si="5"/>
        <v>High</v>
      </c>
      <c r="K126" t="str">
        <f t="shared" si="6"/>
        <v>High Risk</v>
      </c>
      <c r="L126">
        <f t="shared" si="7"/>
        <v>1</v>
      </c>
      <c r="M126">
        <f t="shared" si="8"/>
        <v>1</v>
      </c>
      <c r="N126" s="6">
        <f t="shared" si="9"/>
        <v>45694</v>
      </c>
    </row>
    <row r="127" spans="1:14" x14ac:dyDescent="0.3">
      <c r="A127">
        <v>878</v>
      </c>
      <c r="B127">
        <v>10087</v>
      </c>
      <c r="C127" t="s">
        <v>901</v>
      </c>
      <c r="D127" t="s">
        <v>23</v>
      </c>
      <c r="E127" t="s">
        <v>16</v>
      </c>
      <c r="F127" t="s">
        <v>17</v>
      </c>
      <c r="G127" t="s">
        <v>13</v>
      </c>
      <c r="H127">
        <v>21570.16</v>
      </c>
      <c r="I127">
        <v>0</v>
      </c>
      <c r="J127" t="str">
        <f t="shared" si="5"/>
        <v>High</v>
      </c>
      <c r="K127" t="str">
        <f t="shared" si="6"/>
        <v>Normal</v>
      </c>
      <c r="L127">
        <f t="shared" si="7"/>
        <v>1</v>
      </c>
      <c r="M127">
        <f t="shared" si="8"/>
        <v>1</v>
      </c>
      <c r="N127" s="6">
        <f t="shared" si="9"/>
        <v>45694</v>
      </c>
    </row>
    <row r="128" spans="1:14" x14ac:dyDescent="0.3">
      <c r="A128">
        <v>879</v>
      </c>
      <c r="B128">
        <v>10078</v>
      </c>
      <c r="C128" t="s">
        <v>902</v>
      </c>
      <c r="D128" t="s">
        <v>15</v>
      </c>
      <c r="E128" t="s">
        <v>24</v>
      </c>
      <c r="F128" t="s">
        <v>12</v>
      </c>
      <c r="G128" t="s">
        <v>25</v>
      </c>
      <c r="H128">
        <v>4292.21</v>
      </c>
      <c r="I128">
        <v>0</v>
      </c>
      <c r="J128" t="str">
        <f t="shared" si="5"/>
        <v>High</v>
      </c>
      <c r="K128" t="str">
        <f t="shared" si="6"/>
        <v>Normal</v>
      </c>
      <c r="L128">
        <f t="shared" si="7"/>
        <v>1</v>
      </c>
      <c r="M128">
        <f t="shared" si="8"/>
        <v>1</v>
      </c>
      <c r="N128" s="6">
        <f t="shared" si="9"/>
        <v>45694</v>
      </c>
    </row>
    <row r="129" spans="1:14" x14ac:dyDescent="0.3">
      <c r="A129">
        <v>880</v>
      </c>
      <c r="B129">
        <v>10029</v>
      </c>
      <c r="C129" t="s">
        <v>903</v>
      </c>
      <c r="D129" t="s">
        <v>20</v>
      </c>
      <c r="E129" t="s">
        <v>11</v>
      </c>
      <c r="F129" t="s">
        <v>17</v>
      </c>
      <c r="G129" t="s">
        <v>18</v>
      </c>
      <c r="H129">
        <v>36428.17</v>
      </c>
      <c r="I129">
        <v>0</v>
      </c>
      <c r="J129" t="str">
        <f t="shared" si="5"/>
        <v>High</v>
      </c>
      <c r="K129" t="str">
        <f t="shared" si="6"/>
        <v>Normal</v>
      </c>
      <c r="L129">
        <f t="shared" si="7"/>
        <v>1</v>
      </c>
      <c r="M129">
        <f t="shared" si="8"/>
        <v>1</v>
      </c>
      <c r="N129" s="6">
        <f t="shared" si="9"/>
        <v>45694</v>
      </c>
    </row>
    <row r="130" spans="1:14" x14ac:dyDescent="0.3">
      <c r="A130">
        <v>881</v>
      </c>
      <c r="B130">
        <v>10050</v>
      </c>
      <c r="C130" t="s">
        <v>904</v>
      </c>
      <c r="D130" t="s">
        <v>10</v>
      </c>
      <c r="E130" t="s">
        <v>16</v>
      </c>
      <c r="F130" t="s">
        <v>17</v>
      </c>
      <c r="G130" t="s">
        <v>13</v>
      </c>
      <c r="H130">
        <v>9949.56</v>
      </c>
      <c r="I130">
        <v>0</v>
      </c>
      <c r="J130" t="str">
        <f t="shared" ref="J130:J193" si="10">IF(E130&gt;50000,"High","Normal")</f>
        <v>High</v>
      </c>
      <c r="K130" t="str">
        <f t="shared" ref="K130:K193" si="11">IF(AND(H130&gt;50000,E130="Online"),"High Risk","Normal")</f>
        <v>Normal</v>
      </c>
      <c r="L130">
        <f t="shared" ref="L130:L193" si="12">COUNTIFS(C:C,C130,B:B,B130)</f>
        <v>1</v>
      </c>
      <c r="M130">
        <f t="shared" ref="M130:M193" si="13">IF(E130&gt;50000,1,0) + IF(H130="Unusual",1,0) + IF(I130&gt;3,1,0)</f>
        <v>1</v>
      </c>
      <c r="N130" s="6">
        <f t="shared" ref="N130:N193" si="14">INT(C130)</f>
        <v>45694</v>
      </c>
    </row>
    <row r="131" spans="1:14" x14ac:dyDescent="0.3">
      <c r="A131">
        <v>882</v>
      </c>
      <c r="B131">
        <v>10080</v>
      </c>
      <c r="C131" t="s">
        <v>905</v>
      </c>
      <c r="D131" t="s">
        <v>29</v>
      </c>
      <c r="E131" t="s">
        <v>24</v>
      </c>
      <c r="F131" t="s">
        <v>12</v>
      </c>
      <c r="G131" t="s">
        <v>13</v>
      </c>
      <c r="H131">
        <v>11736.14</v>
      </c>
      <c r="I131">
        <v>0</v>
      </c>
      <c r="J131" t="str">
        <f t="shared" si="10"/>
        <v>High</v>
      </c>
      <c r="K131" t="str">
        <f t="shared" si="11"/>
        <v>Normal</v>
      </c>
      <c r="L131">
        <f t="shared" si="12"/>
        <v>1</v>
      </c>
      <c r="M131">
        <f t="shared" si="13"/>
        <v>1</v>
      </c>
      <c r="N131" s="6">
        <f t="shared" si="14"/>
        <v>45694</v>
      </c>
    </row>
    <row r="132" spans="1:14" x14ac:dyDescent="0.3">
      <c r="A132">
        <v>883</v>
      </c>
      <c r="B132">
        <v>10004</v>
      </c>
      <c r="C132" t="s">
        <v>906</v>
      </c>
      <c r="D132" t="s">
        <v>10</v>
      </c>
      <c r="E132" t="s">
        <v>16</v>
      </c>
      <c r="F132" t="s">
        <v>12</v>
      </c>
      <c r="G132" t="s">
        <v>13</v>
      </c>
      <c r="H132">
        <v>25500.7</v>
      </c>
      <c r="I132">
        <v>0</v>
      </c>
      <c r="J132" t="str">
        <f t="shared" si="10"/>
        <v>High</v>
      </c>
      <c r="K132" t="str">
        <f t="shared" si="11"/>
        <v>Normal</v>
      </c>
      <c r="L132">
        <f t="shared" si="12"/>
        <v>1</v>
      </c>
      <c r="M132">
        <f t="shared" si="13"/>
        <v>1</v>
      </c>
      <c r="N132" s="6">
        <f t="shared" si="14"/>
        <v>45694</v>
      </c>
    </row>
    <row r="133" spans="1:14" x14ac:dyDescent="0.3">
      <c r="A133">
        <v>884</v>
      </c>
      <c r="B133">
        <v>10028</v>
      </c>
      <c r="C133" t="s">
        <v>907</v>
      </c>
      <c r="D133" t="s">
        <v>20</v>
      </c>
      <c r="E133" t="s">
        <v>11</v>
      </c>
      <c r="F133" t="s">
        <v>17</v>
      </c>
      <c r="G133" t="s">
        <v>13</v>
      </c>
      <c r="H133">
        <v>29617.25</v>
      </c>
      <c r="I133">
        <v>0</v>
      </c>
      <c r="J133" t="str">
        <f t="shared" si="10"/>
        <v>High</v>
      </c>
      <c r="K133" t="str">
        <f t="shared" si="11"/>
        <v>Normal</v>
      </c>
      <c r="L133">
        <f t="shared" si="12"/>
        <v>1</v>
      </c>
      <c r="M133">
        <f t="shared" si="13"/>
        <v>1</v>
      </c>
      <c r="N133" s="6">
        <f t="shared" si="14"/>
        <v>45694</v>
      </c>
    </row>
    <row r="134" spans="1:14" x14ac:dyDescent="0.3">
      <c r="A134">
        <v>885</v>
      </c>
      <c r="B134">
        <v>10003</v>
      </c>
      <c r="C134" t="s">
        <v>908</v>
      </c>
      <c r="D134" t="s">
        <v>10</v>
      </c>
      <c r="E134" t="s">
        <v>11</v>
      </c>
      <c r="F134" t="s">
        <v>17</v>
      </c>
      <c r="G134" t="s">
        <v>31</v>
      </c>
      <c r="H134">
        <v>53044.04</v>
      </c>
      <c r="I134">
        <v>1</v>
      </c>
      <c r="J134" t="str">
        <f t="shared" si="10"/>
        <v>High</v>
      </c>
      <c r="K134" t="str">
        <f t="shared" si="11"/>
        <v>High Risk</v>
      </c>
      <c r="L134">
        <f t="shared" si="12"/>
        <v>1</v>
      </c>
      <c r="M134">
        <f t="shared" si="13"/>
        <v>1</v>
      </c>
      <c r="N134" s="6">
        <f t="shared" si="14"/>
        <v>45694</v>
      </c>
    </row>
    <row r="135" spans="1:14" x14ac:dyDescent="0.3">
      <c r="A135">
        <v>886</v>
      </c>
      <c r="B135">
        <v>10009</v>
      </c>
      <c r="C135" t="s">
        <v>909</v>
      </c>
      <c r="D135" t="s">
        <v>10</v>
      </c>
      <c r="E135" t="s">
        <v>11</v>
      </c>
      <c r="F135" t="s">
        <v>12</v>
      </c>
      <c r="G135" t="s">
        <v>13</v>
      </c>
      <c r="H135">
        <v>67871.350000000006</v>
      </c>
      <c r="I135">
        <v>1</v>
      </c>
      <c r="J135" t="str">
        <f t="shared" si="10"/>
        <v>High</v>
      </c>
      <c r="K135" t="str">
        <f t="shared" si="11"/>
        <v>High Risk</v>
      </c>
      <c r="L135">
        <f t="shared" si="12"/>
        <v>1</v>
      </c>
      <c r="M135">
        <f t="shared" si="13"/>
        <v>1</v>
      </c>
      <c r="N135" s="6">
        <f t="shared" si="14"/>
        <v>45694</v>
      </c>
    </row>
    <row r="136" spans="1:14" x14ac:dyDescent="0.3">
      <c r="A136">
        <v>887</v>
      </c>
      <c r="B136">
        <v>10055</v>
      </c>
      <c r="C136" t="s">
        <v>910</v>
      </c>
      <c r="D136" t="s">
        <v>20</v>
      </c>
      <c r="E136" t="s">
        <v>11</v>
      </c>
      <c r="F136" t="s">
        <v>17</v>
      </c>
      <c r="G136" t="s">
        <v>31</v>
      </c>
      <c r="H136">
        <v>59317.82</v>
      </c>
      <c r="I136">
        <v>1</v>
      </c>
      <c r="J136" t="str">
        <f t="shared" si="10"/>
        <v>High</v>
      </c>
      <c r="K136" t="str">
        <f t="shared" si="11"/>
        <v>High Risk</v>
      </c>
      <c r="L136">
        <f t="shared" si="12"/>
        <v>1</v>
      </c>
      <c r="M136">
        <f t="shared" si="13"/>
        <v>1</v>
      </c>
      <c r="N136" s="6">
        <f t="shared" si="14"/>
        <v>45694</v>
      </c>
    </row>
    <row r="137" spans="1:14" x14ac:dyDescent="0.3">
      <c r="A137">
        <v>888</v>
      </c>
      <c r="B137">
        <v>10016</v>
      </c>
      <c r="C137" t="s">
        <v>911</v>
      </c>
      <c r="D137" t="s">
        <v>10</v>
      </c>
      <c r="E137" t="s">
        <v>24</v>
      </c>
      <c r="F137" t="s">
        <v>12</v>
      </c>
      <c r="G137" t="s">
        <v>31</v>
      </c>
      <c r="H137">
        <v>14921.2</v>
      </c>
      <c r="I137">
        <v>0</v>
      </c>
      <c r="J137" t="str">
        <f t="shared" si="10"/>
        <v>High</v>
      </c>
      <c r="K137" t="str">
        <f t="shared" si="11"/>
        <v>Normal</v>
      </c>
      <c r="L137">
        <f t="shared" si="12"/>
        <v>1</v>
      </c>
      <c r="M137">
        <f t="shared" si="13"/>
        <v>1</v>
      </c>
      <c r="N137" s="6">
        <f t="shared" si="14"/>
        <v>45694</v>
      </c>
    </row>
    <row r="138" spans="1:14" x14ac:dyDescent="0.3">
      <c r="A138">
        <v>841</v>
      </c>
      <c r="B138">
        <v>10025</v>
      </c>
      <c r="C138" t="s">
        <v>864</v>
      </c>
      <c r="D138" t="s">
        <v>23</v>
      </c>
      <c r="E138" t="s">
        <v>11</v>
      </c>
      <c r="F138" t="s">
        <v>12</v>
      </c>
      <c r="G138" t="s">
        <v>31</v>
      </c>
      <c r="H138">
        <v>79022.48</v>
      </c>
      <c r="I138">
        <v>1</v>
      </c>
      <c r="J138" t="str">
        <f t="shared" si="10"/>
        <v>High</v>
      </c>
      <c r="K138" t="str">
        <f t="shared" si="11"/>
        <v>High Risk</v>
      </c>
      <c r="L138">
        <f t="shared" si="12"/>
        <v>1</v>
      </c>
      <c r="M138">
        <f t="shared" si="13"/>
        <v>1</v>
      </c>
      <c r="N138" s="6">
        <f t="shared" si="14"/>
        <v>45693</v>
      </c>
    </row>
    <row r="139" spans="1:14" x14ac:dyDescent="0.3">
      <c r="A139">
        <v>842</v>
      </c>
      <c r="B139">
        <v>10033</v>
      </c>
      <c r="C139" t="s">
        <v>865</v>
      </c>
      <c r="D139" t="s">
        <v>10</v>
      </c>
      <c r="E139" t="s">
        <v>24</v>
      </c>
      <c r="F139" t="s">
        <v>12</v>
      </c>
      <c r="G139" t="s">
        <v>21</v>
      </c>
      <c r="H139">
        <v>31866.46</v>
      </c>
      <c r="I139">
        <v>0</v>
      </c>
      <c r="J139" t="str">
        <f t="shared" si="10"/>
        <v>High</v>
      </c>
      <c r="K139" t="str">
        <f t="shared" si="11"/>
        <v>Normal</v>
      </c>
      <c r="L139">
        <f t="shared" si="12"/>
        <v>1</v>
      </c>
      <c r="M139">
        <f t="shared" si="13"/>
        <v>1</v>
      </c>
      <c r="N139" s="6">
        <f t="shared" si="14"/>
        <v>45693</v>
      </c>
    </row>
    <row r="140" spans="1:14" x14ac:dyDescent="0.3">
      <c r="A140">
        <v>843</v>
      </c>
      <c r="B140">
        <v>10053</v>
      </c>
      <c r="C140" t="s">
        <v>866</v>
      </c>
      <c r="D140" t="s">
        <v>23</v>
      </c>
      <c r="E140" t="s">
        <v>11</v>
      </c>
      <c r="F140" t="s">
        <v>12</v>
      </c>
      <c r="G140" t="s">
        <v>21</v>
      </c>
      <c r="H140">
        <v>58015.14</v>
      </c>
      <c r="I140">
        <v>1</v>
      </c>
      <c r="J140" t="str">
        <f t="shared" si="10"/>
        <v>High</v>
      </c>
      <c r="K140" t="str">
        <f t="shared" si="11"/>
        <v>High Risk</v>
      </c>
      <c r="L140">
        <f t="shared" si="12"/>
        <v>1</v>
      </c>
      <c r="M140">
        <f t="shared" si="13"/>
        <v>1</v>
      </c>
      <c r="N140" s="6">
        <f t="shared" si="14"/>
        <v>45693</v>
      </c>
    </row>
    <row r="141" spans="1:14" x14ac:dyDescent="0.3">
      <c r="A141">
        <v>844</v>
      </c>
      <c r="B141">
        <v>10002</v>
      </c>
      <c r="C141" t="s">
        <v>867</v>
      </c>
      <c r="D141" t="s">
        <v>20</v>
      </c>
      <c r="E141" t="s">
        <v>16</v>
      </c>
      <c r="F141" t="s">
        <v>12</v>
      </c>
      <c r="G141" t="s">
        <v>18</v>
      </c>
      <c r="H141">
        <v>34627.94</v>
      </c>
      <c r="I141">
        <v>0</v>
      </c>
      <c r="J141" t="str">
        <f t="shared" si="10"/>
        <v>High</v>
      </c>
      <c r="K141" t="str">
        <f t="shared" si="11"/>
        <v>Normal</v>
      </c>
      <c r="L141">
        <f t="shared" si="12"/>
        <v>1</v>
      </c>
      <c r="M141">
        <f t="shared" si="13"/>
        <v>1</v>
      </c>
      <c r="N141" s="6">
        <f t="shared" si="14"/>
        <v>45693</v>
      </c>
    </row>
    <row r="142" spans="1:14" x14ac:dyDescent="0.3">
      <c r="A142">
        <v>845</v>
      </c>
      <c r="B142">
        <v>10049</v>
      </c>
      <c r="C142" t="s">
        <v>868</v>
      </c>
      <c r="D142" t="s">
        <v>29</v>
      </c>
      <c r="E142" t="s">
        <v>16</v>
      </c>
      <c r="F142" t="s">
        <v>12</v>
      </c>
      <c r="G142" t="s">
        <v>21</v>
      </c>
      <c r="H142">
        <v>81595.360000000001</v>
      </c>
      <c r="I142">
        <v>0</v>
      </c>
      <c r="J142" t="str">
        <f t="shared" si="10"/>
        <v>High</v>
      </c>
      <c r="K142" t="str">
        <f t="shared" si="11"/>
        <v>Normal</v>
      </c>
      <c r="L142">
        <f t="shared" si="12"/>
        <v>1</v>
      </c>
      <c r="M142">
        <f t="shared" si="13"/>
        <v>1</v>
      </c>
      <c r="N142" s="6">
        <f t="shared" si="14"/>
        <v>45693</v>
      </c>
    </row>
    <row r="143" spans="1:14" x14ac:dyDescent="0.3">
      <c r="A143">
        <v>846</v>
      </c>
      <c r="B143">
        <v>10011</v>
      </c>
      <c r="C143" t="s">
        <v>869</v>
      </c>
      <c r="D143" t="s">
        <v>29</v>
      </c>
      <c r="E143" t="s">
        <v>24</v>
      </c>
      <c r="F143" t="s">
        <v>12</v>
      </c>
      <c r="G143" t="s">
        <v>21</v>
      </c>
      <c r="H143">
        <v>46726.14</v>
      </c>
      <c r="I143">
        <v>0</v>
      </c>
      <c r="J143" t="str">
        <f t="shared" si="10"/>
        <v>High</v>
      </c>
      <c r="K143" t="str">
        <f t="shared" si="11"/>
        <v>Normal</v>
      </c>
      <c r="L143">
        <f t="shared" si="12"/>
        <v>1</v>
      </c>
      <c r="M143">
        <f t="shared" si="13"/>
        <v>1</v>
      </c>
      <c r="N143" s="6">
        <f t="shared" si="14"/>
        <v>45693</v>
      </c>
    </row>
    <row r="144" spans="1:14" x14ac:dyDescent="0.3">
      <c r="A144">
        <v>847</v>
      </c>
      <c r="B144">
        <v>10064</v>
      </c>
      <c r="C144" t="s">
        <v>870</v>
      </c>
      <c r="D144" t="s">
        <v>29</v>
      </c>
      <c r="E144" t="s">
        <v>16</v>
      </c>
      <c r="F144" t="s">
        <v>17</v>
      </c>
      <c r="G144" t="s">
        <v>13</v>
      </c>
      <c r="H144">
        <v>7764.61</v>
      </c>
      <c r="I144">
        <v>0</v>
      </c>
      <c r="J144" t="str">
        <f t="shared" si="10"/>
        <v>High</v>
      </c>
      <c r="K144" t="str">
        <f t="shared" si="11"/>
        <v>Normal</v>
      </c>
      <c r="L144">
        <f t="shared" si="12"/>
        <v>1</v>
      </c>
      <c r="M144">
        <f t="shared" si="13"/>
        <v>1</v>
      </c>
      <c r="N144" s="6">
        <f t="shared" si="14"/>
        <v>45693</v>
      </c>
    </row>
    <row r="145" spans="1:14" x14ac:dyDescent="0.3">
      <c r="A145">
        <v>848</v>
      </c>
      <c r="B145">
        <v>10053</v>
      </c>
      <c r="C145" t="s">
        <v>871</v>
      </c>
      <c r="D145" t="s">
        <v>23</v>
      </c>
      <c r="E145" t="s">
        <v>16</v>
      </c>
      <c r="F145" t="s">
        <v>12</v>
      </c>
      <c r="G145" t="s">
        <v>31</v>
      </c>
      <c r="H145">
        <v>16688.650000000001</v>
      </c>
      <c r="I145">
        <v>0</v>
      </c>
      <c r="J145" t="str">
        <f t="shared" si="10"/>
        <v>High</v>
      </c>
      <c r="K145" t="str">
        <f t="shared" si="11"/>
        <v>Normal</v>
      </c>
      <c r="L145">
        <f t="shared" si="12"/>
        <v>1</v>
      </c>
      <c r="M145">
        <f t="shared" si="13"/>
        <v>1</v>
      </c>
      <c r="N145" s="6">
        <f t="shared" si="14"/>
        <v>45693</v>
      </c>
    </row>
    <row r="146" spans="1:14" x14ac:dyDescent="0.3">
      <c r="A146">
        <v>849</v>
      </c>
      <c r="B146">
        <v>10004</v>
      </c>
      <c r="C146" t="s">
        <v>872</v>
      </c>
      <c r="D146" t="s">
        <v>20</v>
      </c>
      <c r="E146" t="s">
        <v>24</v>
      </c>
      <c r="F146" t="s">
        <v>17</v>
      </c>
      <c r="G146" t="s">
        <v>13</v>
      </c>
      <c r="H146">
        <v>6204.36</v>
      </c>
      <c r="I146">
        <v>0</v>
      </c>
      <c r="J146" t="str">
        <f t="shared" si="10"/>
        <v>High</v>
      </c>
      <c r="K146" t="str">
        <f t="shared" si="11"/>
        <v>Normal</v>
      </c>
      <c r="L146">
        <f t="shared" si="12"/>
        <v>1</v>
      </c>
      <c r="M146">
        <f t="shared" si="13"/>
        <v>1</v>
      </c>
      <c r="N146" s="6">
        <f t="shared" si="14"/>
        <v>45693</v>
      </c>
    </row>
    <row r="147" spans="1:14" x14ac:dyDescent="0.3">
      <c r="A147">
        <v>850</v>
      </c>
      <c r="B147">
        <v>10093</v>
      </c>
      <c r="C147" t="s">
        <v>873</v>
      </c>
      <c r="D147" t="s">
        <v>10</v>
      </c>
      <c r="E147" t="s">
        <v>16</v>
      </c>
      <c r="F147" t="s">
        <v>17</v>
      </c>
      <c r="G147" t="s">
        <v>21</v>
      </c>
      <c r="H147">
        <v>49980.36</v>
      </c>
      <c r="I147">
        <v>0</v>
      </c>
      <c r="J147" t="str">
        <f t="shared" si="10"/>
        <v>High</v>
      </c>
      <c r="K147" t="str">
        <f t="shared" si="11"/>
        <v>Normal</v>
      </c>
      <c r="L147">
        <f t="shared" si="12"/>
        <v>1</v>
      </c>
      <c r="M147">
        <f t="shared" si="13"/>
        <v>1</v>
      </c>
      <c r="N147" s="6">
        <f t="shared" si="14"/>
        <v>45693</v>
      </c>
    </row>
    <row r="148" spans="1:14" x14ac:dyDescent="0.3">
      <c r="A148">
        <v>851</v>
      </c>
      <c r="B148">
        <v>10093</v>
      </c>
      <c r="C148" t="s">
        <v>874</v>
      </c>
      <c r="D148" t="s">
        <v>10</v>
      </c>
      <c r="E148" t="s">
        <v>16</v>
      </c>
      <c r="F148" t="s">
        <v>12</v>
      </c>
      <c r="G148" t="s">
        <v>18</v>
      </c>
      <c r="H148">
        <v>10723.1</v>
      </c>
      <c r="I148">
        <v>0</v>
      </c>
      <c r="J148" t="str">
        <f t="shared" si="10"/>
        <v>High</v>
      </c>
      <c r="K148" t="str">
        <f t="shared" si="11"/>
        <v>Normal</v>
      </c>
      <c r="L148">
        <f t="shared" si="12"/>
        <v>1</v>
      </c>
      <c r="M148">
        <f t="shared" si="13"/>
        <v>1</v>
      </c>
      <c r="N148" s="6">
        <f t="shared" si="14"/>
        <v>45693</v>
      </c>
    </row>
    <row r="149" spans="1:14" x14ac:dyDescent="0.3">
      <c r="A149">
        <v>852</v>
      </c>
      <c r="B149">
        <v>10056</v>
      </c>
      <c r="C149" t="s">
        <v>875</v>
      </c>
      <c r="D149" t="s">
        <v>23</v>
      </c>
      <c r="E149" t="s">
        <v>16</v>
      </c>
      <c r="F149" t="s">
        <v>17</v>
      </c>
      <c r="G149" t="s">
        <v>13</v>
      </c>
      <c r="H149">
        <v>11502.58</v>
      </c>
      <c r="I149">
        <v>0</v>
      </c>
      <c r="J149" t="str">
        <f t="shared" si="10"/>
        <v>High</v>
      </c>
      <c r="K149" t="str">
        <f t="shared" si="11"/>
        <v>Normal</v>
      </c>
      <c r="L149">
        <f t="shared" si="12"/>
        <v>1</v>
      </c>
      <c r="M149">
        <f t="shared" si="13"/>
        <v>1</v>
      </c>
      <c r="N149" s="6">
        <f t="shared" si="14"/>
        <v>45693</v>
      </c>
    </row>
    <row r="150" spans="1:14" x14ac:dyDescent="0.3">
      <c r="A150">
        <v>853</v>
      </c>
      <c r="B150">
        <v>10016</v>
      </c>
      <c r="C150" t="s">
        <v>876</v>
      </c>
      <c r="D150" t="s">
        <v>29</v>
      </c>
      <c r="E150" t="s">
        <v>11</v>
      </c>
      <c r="F150" t="s">
        <v>12</v>
      </c>
      <c r="G150" t="s">
        <v>13</v>
      </c>
      <c r="H150">
        <v>94110.720000000001</v>
      </c>
      <c r="I150">
        <v>1</v>
      </c>
      <c r="J150" t="str">
        <f t="shared" si="10"/>
        <v>High</v>
      </c>
      <c r="K150" t="str">
        <f t="shared" si="11"/>
        <v>High Risk</v>
      </c>
      <c r="L150">
        <f t="shared" si="12"/>
        <v>1</v>
      </c>
      <c r="M150">
        <f t="shared" si="13"/>
        <v>1</v>
      </c>
      <c r="N150" s="6">
        <f t="shared" si="14"/>
        <v>45693</v>
      </c>
    </row>
    <row r="151" spans="1:14" x14ac:dyDescent="0.3">
      <c r="A151">
        <v>854</v>
      </c>
      <c r="B151">
        <v>10046</v>
      </c>
      <c r="C151" t="s">
        <v>877</v>
      </c>
      <c r="D151" t="s">
        <v>15</v>
      </c>
      <c r="E151" t="s">
        <v>24</v>
      </c>
      <c r="F151" t="s">
        <v>12</v>
      </c>
      <c r="G151" t="s">
        <v>25</v>
      </c>
      <c r="H151">
        <v>87278.24</v>
      </c>
      <c r="I151">
        <v>0</v>
      </c>
      <c r="J151" t="str">
        <f t="shared" si="10"/>
        <v>High</v>
      </c>
      <c r="K151" t="str">
        <f t="shared" si="11"/>
        <v>Normal</v>
      </c>
      <c r="L151">
        <f t="shared" si="12"/>
        <v>1</v>
      </c>
      <c r="M151">
        <f t="shared" si="13"/>
        <v>1</v>
      </c>
      <c r="N151" s="6">
        <f t="shared" si="14"/>
        <v>45693</v>
      </c>
    </row>
    <row r="152" spans="1:14" x14ac:dyDescent="0.3">
      <c r="A152">
        <v>855</v>
      </c>
      <c r="B152">
        <v>10022</v>
      </c>
      <c r="C152" t="s">
        <v>878</v>
      </c>
      <c r="D152" t="s">
        <v>23</v>
      </c>
      <c r="E152" t="s">
        <v>24</v>
      </c>
      <c r="F152" t="s">
        <v>17</v>
      </c>
      <c r="G152" t="s">
        <v>21</v>
      </c>
      <c r="H152">
        <v>45263.45</v>
      </c>
      <c r="I152">
        <v>0</v>
      </c>
      <c r="J152" t="str">
        <f t="shared" si="10"/>
        <v>High</v>
      </c>
      <c r="K152" t="str">
        <f t="shared" si="11"/>
        <v>Normal</v>
      </c>
      <c r="L152">
        <f t="shared" si="12"/>
        <v>1</v>
      </c>
      <c r="M152">
        <f t="shared" si="13"/>
        <v>1</v>
      </c>
      <c r="N152" s="6">
        <f t="shared" si="14"/>
        <v>45693</v>
      </c>
    </row>
    <row r="153" spans="1:14" x14ac:dyDescent="0.3">
      <c r="A153">
        <v>856</v>
      </c>
      <c r="B153">
        <v>10078</v>
      </c>
      <c r="C153" t="s">
        <v>879</v>
      </c>
      <c r="D153" t="s">
        <v>23</v>
      </c>
      <c r="E153" t="s">
        <v>24</v>
      </c>
      <c r="F153" t="s">
        <v>17</v>
      </c>
      <c r="G153" t="s">
        <v>18</v>
      </c>
      <c r="H153">
        <v>98581.95</v>
      </c>
      <c r="I153">
        <v>0</v>
      </c>
      <c r="J153" t="str">
        <f t="shared" si="10"/>
        <v>High</v>
      </c>
      <c r="K153" t="str">
        <f t="shared" si="11"/>
        <v>Normal</v>
      </c>
      <c r="L153">
        <f t="shared" si="12"/>
        <v>1</v>
      </c>
      <c r="M153">
        <f t="shared" si="13"/>
        <v>1</v>
      </c>
      <c r="N153" s="6">
        <f t="shared" si="14"/>
        <v>45693</v>
      </c>
    </row>
    <row r="154" spans="1:14" x14ac:dyDescent="0.3">
      <c r="A154">
        <v>857</v>
      </c>
      <c r="B154">
        <v>10084</v>
      </c>
      <c r="C154" t="s">
        <v>880</v>
      </c>
      <c r="D154" t="s">
        <v>20</v>
      </c>
      <c r="E154" t="s">
        <v>11</v>
      </c>
      <c r="F154" t="s">
        <v>12</v>
      </c>
      <c r="G154" t="s">
        <v>13</v>
      </c>
      <c r="H154">
        <v>118.63</v>
      </c>
      <c r="I154">
        <v>0</v>
      </c>
      <c r="J154" t="str">
        <f t="shared" si="10"/>
        <v>High</v>
      </c>
      <c r="K154" t="str">
        <f t="shared" si="11"/>
        <v>Normal</v>
      </c>
      <c r="L154">
        <f t="shared" si="12"/>
        <v>1</v>
      </c>
      <c r="M154">
        <f t="shared" si="13"/>
        <v>1</v>
      </c>
      <c r="N154" s="6">
        <f t="shared" si="14"/>
        <v>45693</v>
      </c>
    </row>
    <row r="155" spans="1:14" x14ac:dyDescent="0.3">
      <c r="A155">
        <v>858</v>
      </c>
      <c r="B155">
        <v>10013</v>
      </c>
      <c r="C155" t="s">
        <v>881</v>
      </c>
      <c r="D155" t="s">
        <v>10</v>
      </c>
      <c r="E155" t="s">
        <v>11</v>
      </c>
      <c r="F155" t="s">
        <v>12</v>
      </c>
      <c r="G155" t="s">
        <v>13</v>
      </c>
      <c r="H155">
        <v>61436.55</v>
      </c>
      <c r="I155">
        <v>1</v>
      </c>
      <c r="J155" t="str">
        <f t="shared" si="10"/>
        <v>High</v>
      </c>
      <c r="K155" t="str">
        <f t="shared" si="11"/>
        <v>High Risk</v>
      </c>
      <c r="L155">
        <f t="shared" si="12"/>
        <v>1</v>
      </c>
      <c r="M155">
        <f t="shared" si="13"/>
        <v>1</v>
      </c>
      <c r="N155" s="6">
        <f t="shared" si="14"/>
        <v>45693</v>
      </c>
    </row>
    <row r="156" spans="1:14" x14ac:dyDescent="0.3">
      <c r="A156">
        <v>859</v>
      </c>
      <c r="B156">
        <v>10065</v>
      </c>
      <c r="C156" t="s">
        <v>882</v>
      </c>
      <c r="D156" t="s">
        <v>23</v>
      </c>
      <c r="E156" t="s">
        <v>24</v>
      </c>
      <c r="F156" t="s">
        <v>17</v>
      </c>
      <c r="G156" t="s">
        <v>18</v>
      </c>
      <c r="H156">
        <v>61681.17</v>
      </c>
      <c r="I156">
        <v>0</v>
      </c>
      <c r="J156" t="str">
        <f t="shared" si="10"/>
        <v>High</v>
      </c>
      <c r="K156" t="str">
        <f t="shared" si="11"/>
        <v>Normal</v>
      </c>
      <c r="L156">
        <f t="shared" si="12"/>
        <v>1</v>
      </c>
      <c r="M156">
        <f t="shared" si="13"/>
        <v>1</v>
      </c>
      <c r="N156" s="6">
        <f t="shared" si="14"/>
        <v>45693</v>
      </c>
    </row>
    <row r="157" spans="1:14" x14ac:dyDescent="0.3">
      <c r="A157">
        <v>860</v>
      </c>
      <c r="B157">
        <v>10074</v>
      </c>
      <c r="C157" t="s">
        <v>883</v>
      </c>
      <c r="D157" t="s">
        <v>23</v>
      </c>
      <c r="E157" t="s">
        <v>11</v>
      </c>
      <c r="F157" t="s">
        <v>17</v>
      </c>
      <c r="G157" t="s">
        <v>21</v>
      </c>
      <c r="H157">
        <v>45798.559999999998</v>
      </c>
      <c r="I157">
        <v>0</v>
      </c>
      <c r="J157" t="str">
        <f t="shared" si="10"/>
        <v>High</v>
      </c>
      <c r="K157" t="str">
        <f t="shared" si="11"/>
        <v>Normal</v>
      </c>
      <c r="L157">
        <f t="shared" si="12"/>
        <v>1</v>
      </c>
      <c r="M157">
        <f t="shared" si="13"/>
        <v>1</v>
      </c>
      <c r="N157" s="6">
        <f t="shared" si="14"/>
        <v>45693</v>
      </c>
    </row>
    <row r="158" spans="1:14" x14ac:dyDescent="0.3">
      <c r="A158">
        <v>861</v>
      </c>
      <c r="B158">
        <v>10050</v>
      </c>
      <c r="C158" t="s">
        <v>884</v>
      </c>
      <c r="D158" t="s">
        <v>29</v>
      </c>
      <c r="E158" t="s">
        <v>24</v>
      </c>
      <c r="F158" t="s">
        <v>17</v>
      </c>
      <c r="G158" t="s">
        <v>25</v>
      </c>
      <c r="H158">
        <v>39755.1</v>
      </c>
      <c r="I158">
        <v>0</v>
      </c>
      <c r="J158" t="str">
        <f t="shared" si="10"/>
        <v>High</v>
      </c>
      <c r="K158" t="str">
        <f t="shared" si="11"/>
        <v>Normal</v>
      </c>
      <c r="L158">
        <f t="shared" si="12"/>
        <v>1</v>
      </c>
      <c r="M158">
        <f t="shared" si="13"/>
        <v>1</v>
      </c>
      <c r="N158" s="6">
        <f t="shared" si="14"/>
        <v>45693</v>
      </c>
    </row>
    <row r="159" spans="1:14" x14ac:dyDescent="0.3">
      <c r="A159">
        <v>862</v>
      </c>
      <c r="B159">
        <v>10037</v>
      </c>
      <c r="C159" t="s">
        <v>885</v>
      </c>
      <c r="D159" t="s">
        <v>29</v>
      </c>
      <c r="E159" t="s">
        <v>11</v>
      </c>
      <c r="F159" t="s">
        <v>17</v>
      </c>
      <c r="G159" t="s">
        <v>13</v>
      </c>
      <c r="H159">
        <v>45592.78</v>
      </c>
      <c r="I159">
        <v>0</v>
      </c>
      <c r="J159" t="str">
        <f t="shared" si="10"/>
        <v>High</v>
      </c>
      <c r="K159" t="str">
        <f t="shared" si="11"/>
        <v>Normal</v>
      </c>
      <c r="L159">
        <f t="shared" si="12"/>
        <v>1</v>
      </c>
      <c r="M159">
        <f t="shared" si="13"/>
        <v>1</v>
      </c>
      <c r="N159" s="6">
        <f t="shared" si="14"/>
        <v>45693</v>
      </c>
    </row>
    <row r="160" spans="1:14" x14ac:dyDescent="0.3">
      <c r="A160">
        <v>863</v>
      </c>
      <c r="B160">
        <v>10063</v>
      </c>
      <c r="C160" t="s">
        <v>886</v>
      </c>
      <c r="D160" t="s">
        <v>15</v>
      </c>
      <c r="E160" t="s">
        <v>16</v>
      </c>
      <c r="F160" t="s">
        <v>12</v>
      </c>
      <c r="G160" t="s">
        <v>25</v>
      </c>
      <c r="H160">
        <v>41554.550000000003</v>
      </c>
      <c r="I160">
        <v>0</v>
      </c>
      <c r="J160" t="str">
        <f t="shared" si="10"/>
        <v>High</v>
      </c>
      <c r="K160" t="str">
        <f t="shared" si="11"/>
        <v>Normal</v>
      </c>
      <c r="L160">
        <f t="shared" si="12"/>
        <v>1</v>
      </c>
      <c r="M160">
        <f t="shared" si="13"/>
        <v>1</v>
      </c>
      <c r="N160" s="6">
        <f t="shared" si="14"/>
        <v>45693</v>
      </c>
    </row>
    <row r="161" spans="1:14" x14ac:dyDescent="0.3">
      <c r="A161">
        <v>864</v>
      </c>
      <c r="B161">
        <v>10097</v>
      </c>
      <c r="C161" t="s">
        <v>887</v>
      </c>
      <c r="D161" t="s">
        <v>20</v>
      </c>
      <c r="E161" t="s">
        <v>16</v>
      </c>
      <c r="F161" t="s">
        <v>12</v>
      </c>
      <c r="G161" t="s">
        <v>31</v>
      </c>
      <c r="H161">
        <v>73076.2</v>
      </c>
      <c r="I161">
        <v>0</v>
      </c>
      <c r="J161" t="str">
        <f t="shared" si="10"/>
        <v>High</v>
      </c>
      <c r="K161" t="str">
        <f t="shared" si="11"/>
        <v>Normal</v>
      </c>
      <c r="L161">
        <f t="shared" si="12"/>
        <v>1</v>
      </c>
      <c r="M161">
        <f t="shared" si="13"/>
        <v>1</v>
      </c>
      <c r="N161" s="6">
        <f t="shared" si="14"/>
        <v>45693</v>
      </c>
    </row>
    <row r="162" spans="1:14" x14ac:dyDescent="0.3">
      <c r="A162">
        <v>817</v>
      </c>
      <c r="B162">
        <v>10052</v>
      </c>
      <c r="C162" t="s">
        <v>840</v>
      </c>
      <c r="D162" t="s">
        <v>15</v>
      </c>
      <c r="E162" t="s">
        <v>11</v>
      </c>
      <c r="F162" t="s">
        <v>17</v>
      </c>
      <c r="G162" t="s">
        <v>25</v>
      </c>
      <c r="H162">
        <v>97705.46</v>
      </c>
      <c r="I162">
        <v>1</v>
      </c>
      <c r="J162" t="str">
        <f t="shared" si="10"/>
        <v>High</v>
      </c>
      <c r="K162" t="str">
        <f t="shared" si="11"/>
        <v>High Risk</v>
      </c>
      <c r="L162">
        <f t="shared" si="12"/>
        <v>1</v>
      </c>
      <c r="M162">
        <f t="shared" si="13"/>
        <v>1</v>
      </c>
      <c r="N162" s="6">
        <f t="shared" si="14"/>
        <v>45692</v>
      </c>
    </row>
    <row r="163" spans="1:14" x14ac:dyDescent="0.3">
      <c r="A163">
        <v>818</v>
      </c>
      <c r="B163">
        <v>10022</v>
      </c>
      <c r="C163" t="s">
        <v>841</v>
      </c>
      <c r="D163" t="s">
        <v>15</v>
      </c>
      <c r="E163" t="s">
        <v>11</v>
      </c>
      <c r="F163" t="s">
        <v>17</v>
      </c>
      <c r="G163" t="s">
        <v>21</v>
      </c>
      <c r="H163">
        <v>54522.75</v>
      </c>
      <c r="I163">
        <v>1</v>
      </c>
      <c r="J163" t="str">
        <f t="shared" si="10"/>
        <v>High</v>
      </c>
      <c r="K163" t="str">
        <f t="shared" si="11"/>
        <v>High Risk</v>
      </c>
      <c r="L163">
        <f t="shared" si="12"/>
        <v>1</v>
      </c>
      <c r="M163">
        <f t="shared" si="13"/>
        <v>1</v>
      </c>
      <c r="N163" s="6">
        <f t="shared" si="14"/>
        <v>45692</v>
      </c>
    </row>
    <row r="164" spans="1:14" x14ac:dyDescent="0.3">
      <c r="A164">
        <v>819</v>
      </c>
      <c r="B164">
        <v>10052</v>
      </c>
      <c r="C164" t="s">
        <v>842</v>
      </c>
      <c r="D164" t="s">
        <v>10</v>
      </c>
      <c r="E164" t="s">
        <v>24</v>
      </c>
      <c r="F164" t="s">
        <v>12</v>
      </c>
      <c r="G164" t="s">
        <v>18</v>
      </c>
      <c r="H164">
        <v>13655.26</v>
      </c>
      <c r="I164">
        <v>0</v>
      </c>
      <c r="J164" t="str">
        <f t="shared" si="10"/>
        <v>High</v>
      </c>
      <c r="K164" t="str">
        <f t="shared" si="11"/>
        <v>Normal</v>
      </c>
      <c r="L164">
        <f t="shared" si="12"/>
        <v>1</v>
      </c>
      <c r="M164">
        <f t="shared" si="13"/>
        <v>1</v>
      </c>
      <c r="N164" s="6">
        <f t="shared" si="14"/>
        <v>45692</v>
      </c>
    </row>
    <row r="165" spans="1:14" x14ac:dyDescent="0.3">
      <c r="A165">
        <v>820</v>
      </c>
      <c r="B165">
        <v>10036</v>
      </c>
      <c r="C165" t="s">
        <v>843</v>
      </c>
      <c r="D165" t="s">
        <v>20</v>
      </c>
      <c r="E165" t="s">
        <v>24</v>
      </c>
      <c r="F165" t="s">
        <v>17</v>
      </c>
      <c r="G165" t="s">
        <v>18</v>
      </c>
      <c r="H165">
        <v>89374.16</v>
      </c>
      <c r="I165">
        <v>0</v>
      </c>
      <c r="J165" t="str">
        <f t="shared" si="10"/>
        <v>High</v>
      </c>
      <c r="K165" t="str">
        <f t="shared" si="11"/>
        <v>Normal</v>
      </c>
      <c r="L165">
        <f t="shared" si="12"/>
        <v>1</v>
      </c>
      <c r="M165">
        <f t="shared" si="13"/>
        <v>1</v>
      </c>
      <c r="N165" s="6">
        <f t="shared" si="14"/>
        <v>45692</v>
      </c>
    </row>
    <row r="166" spans="1:14" x14ac:dyDescent="0.3">
      <c r="A166">
        <v>821</v>
      </c>
      <c r="B166">
        <v>10073</v>
      </c>
      <c r="C166" t="s">
        <v>844</v>
      </c>
      <c r="D166" t="s">
        <v>10</v>
      </c>
      <c r="E166" t="s">
        <v>24</v>
      </c>
      <c r="F166" t="s">
        <v>17</v>
      </c>
      <c r="G166" t="s">
        <v>25</v>
      </c>
      <c r="H166">
        <v>7556.38</v>
      </c>
      <c r="I166">
        <v>0</v>
      </c>
      <c r="J166" t="str">
        <f t="shared" si="10"/>
        <v>High</v>
      </c>
      <c r="K166" t="str">
        <f t="shared" si="11"/>
        <v>Normal</v>
      </c>
      <c r="L166">
        <f t="shared" si="12"/>
        <v>1</v>
      </c>
      <c r="M166">
        <f t="shared" si="13"/>
        <v>1</v>
      </c>
      <c r="N166" s="6">
        <f t="shared" si="14"/>
        <v>45692</v>
      </c>
    </row>
    <row r="167" spans="1:14" x14ac:dyDescent="0.3">
      <c r="A167">
        <v>822</v>
      </c>
      <c r="B167">
        <v>10073</v>
      </c>
      <c r="C167" t="s">
        <v>845</v>
      </c>
      <c r="D167" t="s">
        <v>20</v>
      </c>
      <c r="E167" t="s">
        <v>24</v>
      </c>
      <c r="F167" t="s">
        <v>17</v>
      </c>
      <c r="G167" t="s">
        <v>21</v>
      </c>
      <c r="H167">
        <v>90782.77</v>
      </c>
      <c r="I167">
        <v>0</v>
      </c>
      <c r="J167" t="str">
        <f t="shared" si="10"/>
        <v>High</v>
      </c>
      <c r="K167" t="str">
        <f t="shared" si="11"/>
        <v>Normal</v>
      </c>
      <c r="L167">
        <f t="shared" si="12"/>
        <v>1</v>
      </c>
      <c r="M167">
        <f t="shared" si="13"/>
        <v>1</v>
      </c>
      <c r="N167" s="6">
        <f t="shared" si="14"/>
        <v>45692</v>
      </c>
    </row>
    <row r="168" spans="1:14" x14ac:dyDescent="0.3">
      <c r="A168">
        <v>823</v>
      </c>
      <c r="B168">
        <v>10082</v>
      </c>
      <c r="C168" t="s">
        <v>846</v>
      </c>
      <c r="D168" t="s">
        <v>20</v>
      </c>
      <c r="E168" t="s">
        <v>16</v>
      </c>
      <c r="F168" t="s">
        <v>17</v>
      </c>
      <c r="G168" t="s">
        <v>13</v>
      </c>
      <c r="H168">
        <v>99656.91</v>
      </c>
      <c r="I168">
        <v>0</v>
      </c>
      <c r="J168" t="str">
        <f t="shared" si="10"/>
        <v>High</v>
      </c>
      <c r="K168" t="str">
        <f t="shared" si="11"/>
        <v>Normal</v>
      </c>
      <c r="L168">
        <f t="shared" si="12"/>
        <v>1</v>
      </c>
      <c r="M168">
        <f t="shared" si="13"/>
        <v>1</v>
      </c>
      <c r="N168" s="6">
        <f t="shared" si="14"/>
        <v>45692</v>
      </c>
    </row>
    <row r="169" spans="1:14" x14ac:dyDescent="0.3">
      <c r="A169">
        <v>824</v>
      </c>
      <c r="B169">
        <v>10016</v>
      </c>
      <c r="C169" t="s">
        <v>847</v>
      </c>
      <c r="D169" t="s">
        <v>23</v>
      </c>
      <c r="E169" t="s">
        <v>16</v>
      </c>
      <c r="F169" t="s">
        <v>17</v>
      </c>
      <c r="G169" t="s">
        <v>25</v>
      </c>
      <c r="H169">
        <v>70073.14</v>
      </c>
      <c r="I169">
        <v>0</v>
      </c>
      <c r="J169" t="str">
        <f t="shared" si="10"/>
        <v>High</v>
      </c>
      <c r="K169" t="str">
        <f t="shared" si="11"/>
        <v>Normal</v>
      </c>
      <c r="L169">
        <f t="shared" si="12"/>
        <v>1</v>
      </c>
      <c r="M169">
        <f t="shared" si="13"/>
        <v>1</v>
      </c>
      <c r="N169" s="6">
        <f t="shared" si="14"/>
        <v>45692</v>
      </c>
    </row>
    <row r="170" spans="1:14" x14ac:dyDescent="0.3">
      <c r="A170">
        <v>825</v>
      </c>
      <c r="B170">
        <v>10084</v>
      </c>
      <c r="C170" t="s">
        <v>848</v>
      </c>
      <c r="D170" t="s">
        <v>23</v>
      </c>
      <c r="E170" t="s">
        <v>16</v>
      </c>
      <c r="F170" t="s">
        <v>17</v>
      </c>
      <c r="G170" t="s">
        <v>21</v>
      </c>
      <c r="H170">
        <v>77067.679999999993</v>
      </c>
      <c r="I170">
        <v>0</v>
      </c>
      <c r="J170" t="str">
        <f t="shared" si="10"/>
        <v>High</v>
      </c>
      <c r="K170" t="str">
        <f t="shared" si="11"/>
        <v>Normal</v>
      </c>
      <c r="L170">
        <f t="shared" si="12"/>
        <v>1</v>
      </c>
      <c r="M170">
        <f t="shared" si="13"/>
        <v>1</v>
      </c>
      <c r="N170" s="6">
        <f t="shared" si="14"/>
        <v>45692</v>
      </c>
    </row>
    <row r="171" spans="1:14" x14ac:dyDescent="0.3">
      <c r="A171">
        <v>826</v>
      </c>
      <c r="B171">
        <v>10077</v>
      </c>
      <c r="C171" t="s">
        <v>849</v>
      </c>
      <c r="D171" t="s">
        <v>20</v>
      </c>
      <c r="E171" t="s">
        <v>24</v>
      </c>
      <c r="F171" t="s">
        <v>12</v>
      </c>
      <c r="G171" t="s">
        <v>18</v>
      </c>
      <c r="H171">
        <v>33796.550000000003</v>
      </c>
      <c r="I171">
        <v>0</v>
      </c>
      <c r="J171" t="str">
        <f t="shared" si="10"/>
        <v>High</v>
      </c>
      <c r="K171" t="str">
        <f t="shared" si="11"/>
        <v>Normal</v>
      </c>
      <c r="L171">
        <f t="shared" si="12"/>
        <v>1</v>
      </c>
      <c r="M171">
        <f t="shared" si="13"/>
        <v>1</v>
      </c>
      <c r="N171" s="6">
        <f t="shared" si="14"/>
        <v>45692</v>
      </c>
    </row>
    <row r="172" spans="1:14" x14ac:dyDescent="0.3">
      <c r="A172">
        <v>827</v>
      </c>
      <c r="B172">
        <v>10072</v>
      </c>
      <c r="C172" t="s">
        <v>850</v>
      </c>
      <c r="D172" t="s">
        <v>20</v>
      </c>
      <c r="E172" t="s">
        <v>24</v>
      </c>
      <c r="F172" t="s">
        <v>12</v>
      </c>
      <c r="G172" t="s">
        <v>21</v>
      </c>
      <c r="H172">
        <v>94163.53</v>
      </c>
      <c r="I172">
        <v>0</v>
      </c>
      <c r="J172" t="str">
        <f t="shared" si="10"/>
        <v>High</v>
      </c>
      <c r="K172" t="str">
        <f t="shared" si="11"/>
        <v>Normal</v>
      </c>
      <c r="L172">
        <f t="shared" si="12"/>
        <v>1</v>
      </c>
      <c r="M172">
        <f t="shared" si="13"/>
        <v>1</v>
      </c>
      <c r="N172" s="6">
        <f t="shared" si="14"/>
        <v>45692</v>
      </c>
    </row>
    <row r="173" spans="1:14" x14ac:dyDescent="0.3">
      <c r="A173">
        <v>828</v>
      </c>
      <c r="B173">
        <v>10000</v>
      </c>
      <c r="C173" t="s">
        <v>851</v>
      </c>
      <c r="D173" t="s">
        <v>10</v>
      </c>
      <c r="E173" t="s">
        <v>24</v>
      </c>
      <c r="F173" t="s">
        <v>17</v>
      </c>
      <c r="G173" t="s">
        <v>21</v>
      </c>
      <c r="H173">
        <v>53018.43</v>
      </c>
      <c r="I173">
        <v>0</v>
      </c>
      <c r="J173" t="str">
        <f t="shared" si="10"/>
        <v>High</v>
      </c>
      <c r="K173" t="str">
        <f t="shared" si="11"/>
        <v>Normal</v>
      </c>
      <c r="L173">
        <f t="shared" si="12"/>
        <v>1</v>
      </c>
      <c r="M173">
        <f t="shared" si="13"/>
        <v>1</v>
      </c>
      <c r="N173" s="6">
        <f t="shared" si="14"/>
        <v>45692</v>
      </c>
    </row>
    <row r="174" spans="1:14" x14ac:dyDescent="0.3">
      <c r="A174">
        <v>829</v>
      </c>
      <c r="B174">
        <v>10050</v>
      </c>
      <c r="C174" t="s">
        <v>852</v>
      </c>
      <c r="D174" t="s">
        <v>10</v>
      </c>
      <c r="E174" t="s">
        <v>16</v>
      </c>
      <c r="F174" t="s">
        <v>12</v>
      </c>
      <c r="G174" t="s">
        <v>21</v>
      </c>
      <c r="H174">
        <v>73265.61</v>
      </c>
      <c r="I174">
        <v>0</v>
      </c>
      <c r="J174" t="str">
        <f t="shared" si="10"/>
        <v>High</v>
      </c>
      <c r="K174" t="str">
        <f t="shared" si="11"/>
        <v>Normal</v>
      </c>
      <c r="L174">
        <f t="shared" si="12"/>
        <v>1</v>
      </c>
      <c r="M174">
        <f t="shared" si="13"/>
        <v>1</v>
      </c>
      <c r="N174" s="6">
        <f t="shared" si="14"/>
        <v>45692</v>
      </c>
    </row>
    <row r="175" spans="1:14" x14ac:dyDescent="0.3">
      <c r="A175">
        <v>830</v>
      </c>
      <c r="B175">
        <v>10044</v>
      </c>
      <c r="C175" t="s">
        <v>853</v>
      </c>
      <c r="D175" t="s">
        <v>23</v>
      </c>
      <c r="E175" t="s">
        <v>24</v>
      </c>
      <c r="F175" t="s">
        <v>12</v>
      </c>
      <c r="G175" t="s">
        <v>13</v>
      </c>
      <c r="H175">
        <v>92418.36</v>
      </c>
      <c r="I175">
        <v>0</v>
      </c>
      <c r="J175" t="str">
        <f t="shared" si="10"/>
        <v>High</v>
      </c>
      <c r="K175" t="str">
        <f t="shared" si="11"/>
        <v>Normal</v>
      </c>
      <c r="L175">
        <f t="shared" si="12"/>
        <v>1</v>
      </c>
      <c r="M175">
        <f t="shared" si="13"/>
        <v>1</v>
      </c>
      <c r="N175" s="6">
        <f t="shared" si="14"/>
        <v>45692</v>
      </c>
    </row>
    <row r="176" spans="1:14" x14ac:dyDescent="0.3">
      <c r="A176">
        <v>831</v>
      </c>
      <c r="B176">
        <v>10076</v>
      </c>
      <c r="C176" t="s">
        <v>854</v>
      </c>
      <c r="D176" t="s">
        <v>15</v>
      </c>
      <c r="E176" t="s">
        <v>11</v>
      </c>
      <c r="F176" t="s">
        <v>17</v>
      </c>
      <c r="G176" t="s">
        <v>21</v>
      </c>
      <c r="H176">
        <v>97520.48</v>
      </c>
      <c r="I176">
        <v>1</v>
      </c>
      <c r="J176" t="str">
        <f t="shared" si="10"/>
        <v>High</v>
      </c>
      <c r="K176" t="str">
        <f t="shared" si="11"/>
        <v>High Risk</v>
      </c>
      <c r="L176">
        <f t="shared" si="12"/>
        <v>1</v>
      </c>
      <c r="M176">
        <f t="shared" si="13"/>
        <v>1</v>
      </c>
      <c r="N176" s="6">
        <f t="shared" si="14"/>
        <v>45692</v>
      </c>
    </row>
    <row r="177" spans="1:14" x14ac:dyDescent="0.3">
      <c r="A177">
        <v>832</v>
      </c>
      <c r="B177">
        <v>10003</v>
      </c>
      <c r="C177" t="s">
        <v>855</v>
      </c>
      <c r="D177" t="s">
        <v>20</v>
      </c>
      <c r="E177" t="s">
        <v>11</v>
      </c>
      <c r="F177" t="s">
        <v>17</v>
      </c>
      <c r="G177" t="s">
        <v>13</v>
      </c>
      <c r="H177">
        <v>83337.119999999995</v>
      </c>
      <c r="I177">
        <v>1</v>
      </c>
      <c r="J177" t="str">
        <f t="shared" si="10"/>
        <v>High</v>
      </c>
      <c r="K177" t="str">
        <f t="shared" si="11"/>
        <v>High Risk</v>
      </c>
      <c r="L177">
        <f t="shared" si="12"/>
        <v>1</v>
      </c>
      <c r="M177">
        <f t="shared" si="13"/>
        <v>1</v>
      </c>
      <c r="N177" s="6">
        <f t="shared" si="14"/>
        <v>45692</v>
      </c>
    </row>
    <row r="178" spans="1:14" x14ac:dyDescent="0.3">
      <c r="A178">
        <v>833</v>
      </c>
      <c r="B178">
        <v>10061</v>
      </c>
      <c r="C178" t="s">
        <v>856</v>
      </c>
      <c r="D178" t="s">
        <v>10</v>
      </c>
      <c r="E178" t="s">
        <v>24</v>
      </c>
      <c r="F178" t="s">
        <v>17</v>
      </c>
      <c r="G178" t="s">
        <v>18</v>
      </c>
      <c r="H178">
        <v>30371.45</v>
      </c>
      <c r="I178">
        <v>0</v>
      </c>
      <c r="J178" t="str">
        <f t="shared" si="10"/>
        <v>High</v>
      </c>
      <c r="K178" t="str">
        <f t="shared" si="11"/>
        <v>Normal</v>
      </c>
      <c r="L178">
        <f t="shared" si="12"/>
        <v>1</v>
      </c>
      <c r="M178">
        <f t="shared" si="13"/>
        <v>1</v>
      </c>
      <c r="N178" s="6">
        <f t="shared" si="14"/>
        <v>45692</v>
      </c>
    </row>
    <row r="179" spans="1:14" x14ac:dyDescent="0.3">
      <c r="A179">
        <v>834</v>
      </c>
      <c r="B179">
        <v>10064</v>
      </c>
      <c r="C179" t="s">
        <v>857</v>
      </c>
      <c r="D179" t="s">
        <v>23</v>
      </c>
      <c r="E179" t="s">
        <v>11</v>
      </c>
      <c r="F179" t="s">
        <v>12</v>
      </c>
      <c r="G179" t="s">
        <v>13</v>
      </c>
      <c r="H179">
        <v>96658.1</v>
      </c>
      <c r="I179">
        <v>1</v>
      </c>
      <c r="J179" t="str">
        <f t="shared" si="10"/>
        <v>High</v>
      </c>
      <c r="K179" t="str">
        <f t="shared" si="11"/>
        <v>High Risk</v>
      </c>
      <c r="L179">
        <f t="shared" si="12"/>
        <v>1</v>
      </c>
      <c r="M179">
        <f t="shared" si="13"/>
        <v>1</v>
      </c>
      <c r="N179" s="6">
        <f t="shared" si="14"/>
        <v>45692</v>
      </c>
    </row>
    <row r="180" spans="1:14" x14ac:dyDescent="0.3">
      <c r="A180">
        <v>835</v>
      </c>
      <c r="B180">
        <v>10031</v>
      </c>
      <c r="C180" t="s">
        <v>858</v>
      </c>
      <c r="D180" t="s">
        <v>10</v>
      </c>
      <c r="E180" t="s">
        <v>11</v>
      </c>
      <c r="F180" t="s">
        <v>17</v>
      </c>
      <c r="G180" t="s">
        <v>18</v>
      </c>
      <c r="H180">
        <v>62849.14</v>
      </c>
      <c r="I180">
        <v>1</v>
      </c>
      <c r="J180" t="str">
        <f t="shared" si="10"/>
        <v>High</v>
      </c>
      <c r="K180" t="str">
        <f t="shared" si="11"/>
        <v>High Risk</v>
      </c>
      <c r="L180">
        <f t="shared" si="12"/>
        <v>1</v>
      </c>
      <c r="M180">
        <f t="shared" si="13"/>
        <v>1</v>
      </c>
      <c r="N180" s="6">
        <f t="shared" si="14"/>
        <v>45692</v>
      </c>
    </row>
    <row r="181" spans="1:14" x14ac:dyDescent="0.3">
      <c r="A181">
        <v>836</v>
      </c>
      <c r="B181">
        <v>10033</v>
      </c>
      <c r="C181" t="s">
        <v>859</v>
      </c>
      <c r="D181" t="s">
        <v>20</v>
      </c>
      <c r="E181" t="s">
        <v>16</v>
      </c>
      <c r="F181" t="s">
        <v>12</v>
      </c>
      <c r="G181" t="s">
        <v>18</v>
      </c>
      <c r="H181">
        <v>93071.18</v>
      </c>
      <c r="I181">
        <v>0</v>
      </c>
      <c r="J181" t="str">
        <f t="shared" si="10"/>
        <v>High</v>
      </c>
      <c r="K181" t="str">
        <f t="shared" si="11"/>
        <v>Normal</v>
      </c>
      <c r="L181">
        <f t="shared" si="12"/>
        <v>1</v>
      </c>
      <c r="M181">
        <f t="shared" si="13"/>
        <v>1</v>
      </c>
      <c r="N181" s="6">
        <f t="shared" si="14"/>
        <v>45692</v>
      </c>
    </row>
    <row r="182" spans="1:14" x14ac:dyDescent="0.3">
      <c r="A182">
        <v>837</v>
      </c>
      <c r="B182">
        <v>10091</v>
      </c>
      <c r="C182" t="s">
        <v>860</v>
      </c>
      <c r="D182" t="s">
        <v>20</v>
      </c>
      <c r="E182" t="s">
        <v>24</v>
      </c>
      <c r="F182" t="s">
        <v>17</v>
      </c>
      <c r="G182" t="s">
        <v>13</v>
      </c>
      <c r="H182">
        <v>67642.89</v>
      </c>
      <c r="I182">
        <v>0</v>
      </c>
      <c r="J182" t="str">
        <f t="shared" si="10"/>
        <v>High</v>
      </c>
      <c r="K182" t="str">
        <f t="shared" si="11"/>
        <v>Normal</v>
      </c>
      <c r="L182">
        <f t="shared" si="12"/>
        <v>1</v>
      </c>
      <c r="M182">
        <f t="shared" si="13"/>
        <v>1</v>
      </c>
      <c r="N182" s="6">
        <f t="shared" si="14"/>
        <v>45692</v>
      </c>
    </row>
    <row r="183" spans="1:14" x14ac:dyDescent="0.3">
      <c r="A183">
        <v>838</v>
      </c>
      <c r="B183">
        <v>10094</v>
      </c>
      <c r="C183" t="s">
        <v>861</v>
      </c>
      <c r="D183" t="s">
        <v>29</v>
      </c>
      <c r="E183" t="s">
        <v>24</v>
      </c>
      <c r="F183" t="s">
        <v>12</v>
      </c>
      <c r="G183" t="s">
        <v>25</v>
      </c>
      <c r="H183">
        <v>30793.17</v>
      </c>
      <c r="I183">
        <v>0</v>
      </c>
      <c r="J183" t="str">
        <f t="shared" si="10"/>
        <v>High</v>
      </c>
      <c r="K183" t="str">
        <f t="shared" si="11"/>
        <v>Normal</v>
      </c>
      <c r="L183">
        <f t="shared" si="12"/>
        <v>1</v>
      </c>
      <c r="M183">
        <f t="shared" si="13"/>
        <v>1</v>
      </c>
      <c r="N183" s="6">
        <f t="shared" si="14"/>
        <v>45692</v>
      </c>
    </row>
    <row r="184" spans="1:14" x14ac:dyDescent="0.3">
      <c r="A184">
        <v>839</v>
      </c>
      <c r="B184">
        <v>10071</v>
      </c>
      <c r="C184" t="s">
        <v>862</v>
      </c>
      <c r="D184" t="s">
        <v>15</v>
      </c>
      <c r="E184" t="s">
        <v>16</v>
      </c>
      <c r="F184" t="s">
        <v>17</v>
      </c>
      <c r="G184" t="s">
        <v>31</v>
      </c>
      <c r="H184">
        <v>37065.449999999997</v>
      </c>
      <c r="I184">
        <v>0</v>
      </c>
      <c r="J184" t="str">
        <f t="shared" si="10"/>
        <v>High</v>
      </c>
      <c r="K184" t="str">
        <f t="shared" si="11"/>
        <v>Normal</v>
      </c>
      <c r="L184">
        <f t="shared" si="12"/>
        <v>1</v>
      </c>
      <c r="M184">
        <f t="shared" si="13"/>
        <v>1</v>
      </c>
      <c r="N184" s="6">
        <f t="shared" si="14"/>
        <v>45692</v>
      </c>
    </row>
    <row r="185" spans="1:14" x14ac:dyDescent="0.3">
      <c r="A185">
        <v>840</v>
      </c>
      <c r="B185">
        <v>10038</v>
      </c>
      <c r="C185" t="s">
        <v>863</v>
      </c>
      <c r="D185" t="s">
        <v>29</v>
      </c>
      <c r="E185" t="s">
        <v>11</v>
      </c>
      <c r="F185" t="s">
        <v>17</v>
      </c>
      <c r="G185" t="s">
        <v>21</v>
      </c>
      <c r="H185">
        <v>55092.13</v>
      </c>
      <c r="I185">
        <v>1</v>
      </c>
      <c r="J185" t="str">
        <f t="shared" si="10"/>
        <v>High</v>
      </c>
      <c r="K185" t="str">
        <f t="shared" si="11"/>
        <v>High Risk</v>
      </c>
      <c r="L185">
        <f t="shared" si="12"/>
        <v>1</v>
      </c>
      <c r="M185">
        <f t="shared" si="13"/>
        <v>1</v>
      </c>
      <c r="N185" s="6">
        <f t="shared" si="14"/>
        <v>45692</v>
      </c>
    </row>
    <row r="186" spans="1:14" x14ac:dyDescent="0.3">
      <c r="A186">
        <v>793</v>
      </c>
      <c r="B186">
        <v>10048</v>
      </c>
      <c r="C186" t="s">
        <v>816</v>
      </c>
      <c r="D186" t="s">
        <v>20</v>
      </c>
      <c r="E186" t="s">
        <v>24</v>
      </c>
      <c r="F186" t="s">
        <v>12</v>
      </c>
      <c r="G186" t="s">
        <v>31</v>
      </c>
      <c r="H186">
        <v>49256.24</v>
      </c>
      <c r="I186">
        <v>0</v>
      </c>
      <c r="J186" t="str">
        <f t="shared" si="10"/>
        <v>High</v>
      </c>
      <c r="K186" t="str">
        <f t="shared" si="11"/>
        <v>Normal</v>
      </c>
      <c r="L186">
        <f t="shared" si="12"/>
        <v>1</v>
      </c>
      <c r="M186">
        <f t="shared" si="13"/>
        <v>1</v>
      </c>
      <c r="N186" s="6">
        <f t="shared" si="14"/>
        <v>45691</v>
      </c>
    </row>
    <row r="187" spans="1:14" x14ac:dyDescent="0.3">
      <c r="A187">
        <v>794</v>
      </c>
      <c r="B187">
        <v>10010</v>
      </c>
      <c r="C187" t="s">
        <v>817</v>
      </c>
      <c r="D187" t="s">
        <v>15</v>
      </c>
      <c r="E187" t="s">
        <v>16</v>
      </c>
      <c r="F187" t="s">
        <v>12</v>
      </c>
      <c r="G187" t="s">
        <v>13</v>
      </c>
      <c r="H187">
        <v>79671.199999999997</v>
      </c>
      <c r="I187">
        <v>0</v>
      </c>
      <c r="J187" t="str">
        <f t="shared" si="10"/>
        <v>High</v>
      </c>
      <c r="K187" t="str">
        <f t="shared" si="11"/>
        <v>Normal</v>
      </c>
      <c r="L187">
        <f t="shared" si="12"/>
        <v>1</v>
      </c>
      <c r="M187">
        <f t="shared" si="13"/>
        <v>1</v>
      </c>
      <c r="N187" s="6">
        <f t="shared" si="14"/>
        <v>45691</v>
      </c>
    </row>
    <row r="188" spans="1:14" x14ac:dyDescent="0.3">
      <c r="A188">
        <v>795</v>
      </c>
      <c r="B188">
        <v>10084</v>
      </c>
      <c r="C188" t="s">
        <v>818</v>
      </c>
      <c r="D188" t="s">
        <v>10</v>
      </c>
      <c r="E188" t="s">
        <v>11</v>
      </c>
      <c r="F188" t="s">
        <v>17</v>
      </c>
      <c r="G188" t="s">
        <v>18</v>
      </c>
      <c r="H188">
        <v>23330.880000000001</v>
      </c>
      <c r="I188">
        <v>0</v>
      </c>
      <c r="J188" t="str">
        <f t="shared" si="10"/>
        <v>High</v>
      </c>
      <c r="K188" t="str">
        <f t="shared" si="11"/>
        <v>Normal</v>
      </c>
      <c r="L188">
        <f t="shared" si="12"/>
        <v>1</v>
      </c>
      <c r="M188">
        <f t="shared" si="13"/>
        <v>1</v>
      </c>
      <c r="N188" s="6">
        <f t="shared" si="14"/>
        <v>45691</v>
      </c>
    </row>
    <row r="189" spans="1:14" x14ac:dyDescent="0.3">
      <c r="A189">
        <v>796</v>
      </c>
      <c r="B189">
        <v>10025</v>
      </c>
      <c r="C189" t="s">
        <v>819</v>
      </c>
      <c r="D189" t="s">
        <v>15</v>
      </c>
      <c r="E189" t="s">
        <v>11</v>
      </c>
      <c r="F189" t="s">
        <v>12</v>
      </c>
      <c r="G189" t="s">
        <v>21</v>
      </c>
      <c r="H189">
        <v>22680.720000000001</v>
      </c>
      <c r="I189">
        <v>0</v>
      </c>
      <c r="J189" t="str">
        <f t="shared" si="10"/>
        <v>High</v>
      </c>
      <c r="K189" t="str">
        <f t="shared" si="11"/>
        <v>Normal</v>
      </c>
      <c r="L189">
        <f t="shared" si="12"/>
        <v>1</v>
      </c>
      <c r="M189">
        <f t="shared" si="13"/>
        <v>1</v>
      </c>
      <c r="N189" s="6">
        <f t="shared" si="14"/>
        <v>45691</v>
      </c>
    </row>
    <row r="190" spans="1:14" x14ac:dyDescent="0.3">
      <c r="A190">
        <v>797</v>
      </c>
      <c r="B190">
        <v>10062</v>
      </c>
      <c r="C190" t="s">
        <v>820</v>
      </c>
      <c r="D190" t="s">
        <v>15</v>
      </c>
      <c r="E190" t="s">
        <v>11</v>
      </c>
      <c r="F190" t="s">
        <v>12</v>
      </c>
      <c r="G190" t="s">
        <v>21</v>
      </c>
      <c r="H190">
        <v>55149.99</v>
      </c>
      <c r="I190">
        <v>1</v>
      </c>
      <c r="J190" t="str">
        <f t="shared" si="10"/>
        <v>High</v>
      </c>
      <c r="K190" t="str">
        <f t="shared" si="11"/>
        <v>High Risk</v>
      </c>
      <c r="L190">
        <f t="shared" si="12"/>
        <v>1</v>
      </c>
      <c r="M190">
        <f t="shared" si="13"/>
        <v>1</v>
      </c>
      <c r="N190" s="6">
        <f t="shared" si="14"/>
        <v>45691</v>
      </c>
    </row>
    <row r="191" spans="1:14" x14ac:dyDescent="0.3">
      <c r="A191">
        <v>798</v>
      </c>
      <c r="B191">
        <v>10088</v>
      </c>
      <c r="C191" t="s">
        <v>821</v>
      </c>
      <c r="D191" t="s">
        <v>15</v>
      </c>
      <c r="E191" t="s">
        <v>11</v>
      </c>
      <c r="F191" t="s">
        <v>12</v>
      </c>
      <c r="G191" t="s">
        <v>21</v>
      </c>
      <c r="H191">
        <v>52404</v>
      </c>
      <c r="I191">
        <v>1</v>
      </c>
      <c r="J191" t="str">
        <f t="shared" si="10"/>
        <v>High</v>
      </c>
      <c r="K191" t="str">
        <f t="shared" si="11"/>
        <v>High Risk</v>
      </c>
      <c r="L191">
        <f t="shared" si="12"/>
        <v>1</v>
      </c>
      <c r="M191">
        <f t="shared" si="13"/>
        <v>1</v>
      </c>
      <c r="N191" s="6">
        <f t="shared" si="14"/>
        <v>45691</v>
      </c>
    </row>
    <row r="192" spans="1:14" x14ac:dyDescent="0.3">
      <c r="A192">
        <v>799</v>
      </c>
      <c r="B192">
        <v>10085</v>
      </c>
      <c r="C192" t="s">
        <v>822</v>
      </c>
      <c r="D192" t="s">
        <v>29</v>
      </c>
      <c r="E192" t="s">
        <v>11</v>
      </c>
      <c r="F192" t="s">
        <v>17</v>
      </c>
      <c r="G192" t="s">
        <v>13</v>
      </c>
      <c r="H192">
        <v>28298.02</v>
      </c>
      <c r="I192">
        <v>0</v>
      </c>
      <c r="J192" t="str">
        <f t="shared" si="10"/>
        <v>High</v>
      </c>
      <c r="K192" t="str">
        <f t="shared" si="11"/>
        <v>Normal</v>
      </c>
      <c r="L192">
        <f t="shared" si="12"/>
        <v>1</v>
      </c>
      <c r="M192">
        <f t="shared" si="13"/>
        <v>1</v>
      </c>
      <c r="N192" s="6">
        <f t="shared" si="14"/>
        <v>45691</v>
      </c>
    </row>
    <row r="193" spans="1:14" x14ac:dyDescent="0.3">
      <c r="A193">
        <v>800</v>
      </c>
      <c r="B193">
        <v>10058</v>
      </c>
      <c r="C193" t="s">
        <v>823</v>
      </c>
      <c r="D193" t="s">
        <v>15</v>
      </c>
      <c r="E193" t="s">
        <v>24</v>
      </c>
      <c r="F193" t="s">
        <v>12</v>
      </c>
      <c r="G193" t="s">
        <v>13</v>
      </c>
      <c r="H193">
        <v>29877.759999999998</v>
      </c>
      <c r="I193">
        <v>0</v>
      </c>
      <c r="J193" t="str">
        <f t="shared" si="10"/>
        <v>High</v>
      </c>
      <c r="K193" t="str">
        <f t="shared" si="11"/>
        <v>Normal</v>
      </c>
      <c r="L193">
        <f t="shared" si="12"/>
        <v>1</v>
      </c>
      <c r="M193">
        <f t="shared" si="13"/>
        <v>1</v>
      </c>
      <c r="N193" s="6">
        <f t="shared" si="14"/>
        <v>45691</v>
      </c>
    </row>
    <row r="194" spans="1:14" x14ac:dyDescent="0.3">
      <c r="A194">
        <v>801</v>
      </c>
      <c r="B194">
        <v>10026</v>
      </c>
      <c r="C194" t="s">
        <v>824</v>
      </c>
      <c r="D194" t="s">
        <v>29</v>
      </c>
      <c r="E194" t="s">
        <v>11</v>
      </c>
      <c r="F194" t="s">
        <v>17</v>
      </c>
      <c r="G194" t="s">
        <v>25</v>
      </c>
      <c r="H194">
        <v>27856.73</v>
      </c>
      <c r="I194">
        <v>0</v>
      </c>
      <c r="J194" t="str">
        <f t="shared" ref="J194:J257" si="15">IF(E194&gt;50000,"High","Normal")</f>
        <v>High</v>
      </c>
      <c r="K194" t="str">
        <f t="shared" ref="K194:K257" si="16">IF(AND(H194&gt;50000,E194="Online"),"High Risk","Normal")</f>
        <v>Normal</v>
      </c>
      <c r="L194">
        <f t="shared" ref="L194:L257" si="17">COUNTIFS(C:C,C194,B:B,B194)</f>
        <v>1</v>
      </c>
      <c r="M194">
        <f t="shared" ref="M194:M257" si="18">IF(E194&gt;50000,1,0) + IF(H194="Unusual",1,0) + IF(I194&gt;3,1,0)</f>
        <v>1</v>
      </c>
      <c r="N194" s="6">
        <f t="shared" ref="N194:N257" si="19">INT(C194)</f>
        <v>45691</v>
      </c>
    </row>
    <row r="195" spans="1:14" x14ac:dyDescent="0.3">
      <c r="A195">
        <v>802</v>
      </c>
      <c r="B195">
        <v>10048</v>
      </c>
      <c r="C195" t="s">
        <v>825</v>
      </c>
      <c r="D195" t="s">
        <v>20</v>
      </c>
      <c r="E195" t="s">
        <v>24</v>
      </c>
      <c r="F195" t="s">
        <v>12</v>
      </c>
      <c r="G195" t="s">
        <v>25</v>
      </c>
      <c r="H195">
        <v>77174.05</v>
      </c>
      <c r="I195">
        <v>0</v>
      </c>
      <c r="J195" t="str">
        <f t="shared" si="15"/>
        <v>High</v>
      </c>
      <c r="K195" t="str">
        <f t="shared" si="16"/>
        <v>Normal</v>
      </c>
      <c r="L195">
        <f t="shared" si="17"/>
        <v>1</v>
      </c>
      <c r="M195">
        <f t="shared" si="18"/>
        <v>1</v>
      </c>
      <c r="N195" s="6">
        <f t="shared" si="19"/>
        <v>45691</v>
      </c>
    </row>
    <row r="196" spans="1:14" x14ac:dyDescent="0.3">
      <c r="A196">
        <v>803</v>
      </c>
      <c r="B196">
        <v>10076</v>
      </c>
      <c r="C196" t="s">
        <v>826</v>
      </c>
      <c r="D196" t="s">
        <v>10</v>
      </c>
      <c r="E196" t="s">
        <v>24</v>
      </c>
      <c r="F196" t="s">
        <v>12</v>
      </c>
      <c r="G196" t="s">
        <v>21</v>
      </c>
      <c r="H196">
        <v>65224.9</v>
      </c>
      <c r="I196">
        <v>0</v>
      </c>
      <c r="J196" t="str">
        <f t="shared" si="15"/>
        <v>High</v>
      </c>
      <c r="K196" t="str">
        <f t="shared" si="16"/>
        <v>Normal</v>
      </c>
      <c r="L196">
        <f t="shared" si="17"/>
        <v>1</v>
      </c>
      <c r="M196">
        <f t="shared" si="18"/>
        <v>1</v>
      </c>
      <c r="N196" s="6">
        <f t="shared" si="19"/>
        <v>45691</v>
      </c>
    </row>
    <row r="197" spans="1:14" x14ac:dyDescent="0.3">
      <c r="A197">
        <v>804</v>
      </c>
      <c r="B197">
        <v>10032</v>
      </c>
      <c r="C197" t="s">
        <v>827</v>
      </c>
      <c r="D197" t="s">
        <v>10</v>
      </c>
      <c r="E197" t="s">
        <v>24</v>
      </c>
      <c r="F197" t="s">
        <v>17</v>
      </c>
      <c r="G197" t="s">
        <v>18</v>
      </c>
      <c r="H197">
        <v>83258.48</v>
      </c>
      <c r="I197">
        <v>0</v>
      </c>
      <c r="J197" t="str">
        <f t="shared" si="15"/>
        <v>High</v>
      </c>
      <c r="K197" t="str">
        <f t="shared" si="16"/>
        <v>Normal</v>
      </c>
      <c r="L197">
        <f t="shared" si="17"/>
        <v>1</v>
      </c>
      <c r="M197">
        <f t="shared" si="18"/>
        <v>1</v>
      </c>
      <c r="N197" s="6">
        <f t="shared" si="19"/>
        <v>45691</v>
      </c>
    </row>
    <row r="198" spans="1:14" x14ac:dyDescent="0.3">
      <c r="A198">
        <v>805</v>
      </c>
      <c r="B198">
        <v>10097</v>
      </c>
      <c r="C198" t="s">
        <v>828</v>
      </c>
      <c r="D198" t="s">
        <v>10</v>
      </c>
      <c r="E198" t="s">
        <v>16</v>
      </c>
      <c r="F198" t="s">
        <v>12</v>
      </c>
      <c r="G198" t="s">
        <v>25</v>
      </c>
      <c r="H198">
        <v>97549.759999999995</v>
      </c>
      <c r="I198">
        <v>0</v>
      </c>
      <c r="J198" t="str">
        <f t="shared" si="15"/>
        <v>High</v>
      </c>
      <c r="K198" t="str">
        <f t="shared" si="16"/>
        <v>Normal</v>
      </c>
      <c r="L198">
        <f t="shared" si="17"/>
        <v>1</v>
      </c>
      <c r="M198">
        <f t="shared" si="18"/>
        <v>1</v>
      </c>
      <c r="N198" s="6">
        <f t="shared" si="19"/>
        <v>45691</v>
      </c>
    </row>
    <row r="199" spans="1:14" x14ac:dyDescent="0.3">
      <c r="A199">
        <v>806</v>
      </c>
      <c r="B199">
        <v>10098</v>
      </c>
      <c r="C199" t="s">
        <v>829</v>
      </c>
      <c r="D199" t="s">
        <v>10</v>
      </c>
      <c r="E199" t="s">
        <v>16</v>
      </c>
      <c r="F199" t="s">
        <v>17</v>
      </c>
      <c r="G199" t="s">
        <v>25</v>
      </c>
      <c r="H199">
        <v>47469.01</v>
      </c>
      <c r="I199">
        <v>0</v>
      </c>
      <c r="J199" t="str">
        <f t="shared" si="15"/>
        <v>High</v>
      </c>
      <c r="K199" t="str">
        <f t="shared" si="16"/>
        <v>Normal</v>
      </c>
      <c r="L199">
        <f t="shared" si="17"/>
        <v>1</v>
      </c>
      <c r="M199">
        <f t="shared" si="18"/>
        <v>1</v>
      </c>
      <c r="N199" s="6">
        <f t="shared" si="19"/>
        <v>45691</v>
      </c>
    </row>
    <row r="200" spans="1:14" x14ac:dyDescent="0.3">
      <c r="A200">
        <v>807</v>
      </c>
      <c r="B200">
        <v>10000</v>
      </c>
      <c r="C200" t="s">
        <v>830</v>
      </c>
      <c r="D200" t="s">
        <v>10</v>
      </c>
      <c r="E200" t="s">
        <v>24</v>
      </c>
      <c r="F200" t="s">
        <v>17</v>
      </c>
      <c r="G200" t="s">
        <v>13</v>
      </c>
      <c r="H200">
        <v>6762.72</v>
      </c>
      <c r="I200">
        <v>0</v>
      </c>
      <c r="J200" t="str">
        <f t="shared" si="15"/>
        <v>High</v>
      </c>
      <c r="K200" t="str">
        <f t="shared" si="16"/>
        <v>Normal</v>
      </c>
      <c r="L200">
        <f t="shared" si="17"/>
        <v>1</v>
      </c>
      <c r="M200">
        <f t="shared" si="18"/>
        <v>1</v>
      </c>
      <c r="N200" s="6">
        <f t="shared" si="19"/>
        <v>45691</v>
      </c>
    </row>
    <row r="201" spans="1:14" x14ac:dyDescent="0.3">
      <c r="A201">
        <v>808</v>
      </c>
      <c r="B201">
        <v>10020</v>
      </c>
      <c r="C201" t="s">
        <v>831</v>
      </c>
      <c r="D201" t="s">
        <v>10</v>
      </c>
      <c r="E201" t="s">
        <v>16</v>
      </c>
      <c r="F201" t="s">
        <v>17</v>
      </c>
      <c r="G201" t="s">
        <v>18</v>
      </c>
      <c r="H201">
        <v>4904.42</v>
      </c>
      <c r="I201">
        <v>0</v>
      </c>
      <c r="J201" t="str">
        <f t="shared" si="15"/>
        <v>High</v>
      </c>
      <c r="K201" t="str">
        <f t="shared" si="16"/>
        <v>Normal</v>
      </c>
      <c r="L201">
        <f t="shared" si="17"/>
        <v>1</v>
      </c>
      <c r="M201">
        <f t="shared" si="18"/>
        <v>1</v>
      </c>
      <c r="N201" s="6">
        <f t="shared" si="19"/>
        <v>45691</v>
      </c>
    </row>
    <row r="202" spans="1:14" x14ac:dyDescent="0.3">
      <c r="A202">
        <v>809</v>
      </c>
      <c r="B202">
        <v>10054</v>
      </c>
      <c r="C202" t="s">
        <v>832</v>
      </c>
      <c r="D202" t="s">
        <v>10</v>
      </c>
      <c r="E202" t="s">
        <v>11</v>
      </c>
      <c r="F202" t="s">
        <v>12</v>
      </c>
      <c r="G202" t="s">
        <v>21</v>
      </c>
      <c r="H202">
        <v>29636.94</v>
      </c>
      <c r="I202">
        <v>0</v>
      </c>
      <c r="J202" t="str">
        <f t="shared" si="15"/>
        <v>High</v>
      </c>
      <c r="K202" t="str">
        <f t="shared" si="16"/>
        <v>Normal</v>
      </c>
      <c r="L202">
        <f t="shared" si="17"/>
        <v>1</v>
      </c>
      <c r="M202">
        <f t="shared" si="18"/>
        <v>1</v>
      </c>
      <c r="N202" s="6">
        <f t="shared" si="19"/>
        <v>45691</v>
      </c>
    </row>
    <row r="203" spans="1:14" x14ac:dyDescent="0.3">
      <c r="A203">
        <v>810</v>
      </c>
      <c r="B203">
        <v>10005</v>
      </c>
      <c r="C203" t="s">
        <v>833</v>
      </c>
      <c r="D203" t="s">
        <v>20</v>
      </c>
      <c r="E203" t="s">
        <v>11</v>
      </c>
      <c r="F203" t="s">
        <v>12</v>
      </c>
      <c r="G203" t="s">
        <v>25</v>
      </c>
      <c r="H203">
        <v>93261.2</v>
      </c>
      <c r="I203">
        <v>1</v>
      </c>
      <c r="J203" t="str">
        <f t="shared" si="15"/>
        <v>High</v>
      </c>
      <c r="K203" t="str">
        <f t="shared" si="16"/>
        <v>High Risk</v>
      </c>
      <c r="L203">
        <f t="shared" si="17"/>
        <v>1</v>
      </c>
      <c r="M203">
        <f t="shared" si="18"/>
        <v>1</v>
      </c>
      <c r="N203" s="6">
        <f t="shared" si="19"/>
        <v>45691</v>
      </c>
    </row>
    <row r="204" spans="1:14" x14ac:dyDescent="0.3">
      <c r="A204">
        <v>811</v>
      </c>
      <c r="B204">
        <v>10091</v>
      </c>
      <c r="C204" t="s">
        <v>834</v>
      </c>
      <c r="D204" t="s">
        <v>15</v>
      </c>
      <c r="E204" t="s">
        <v>24</v>
      </c>
      <c r="F204" t="s">
        <v>12</v>
      </c>
      <c r="G204" t="s">
        <v>18</v>
      </c>
      <c r="H204">
        <v>52368.98</v>
      </c>
      <c r="I204">
        <v>0</v>
      </c>
      <c r="J204" t="str">
        <f t="shared" si="15"/>
        <v>High</v>
      </c>
      <c r="K204" t="str">
        <f t="shared" si="16"/>
        <v>Normal</v>
      </c>
      <c r="L204">
        <f t="shared" si="17"/>
        <v>1</v>
      </c>
      <c r="M204">
        <f t="shared" si="18"/>
        <v>1</v>
      </c>
      <c r="N204" s="6">
        <f t="shared" si="19"/>
        <v>45691</v>
      </c>
    </row>
    <row r="205" spans="1:14" x14ac:dyDescent="0.3">
      <c r="A205">
        <v>812</v>
      </c>
      <c r="B205">
        <v>10080</v>
      </c>
      <c r="C205" t="s">
        <v>835</v>
      </c>
      <c r="D205" t="s">
        <v>23</v>
      </c>
      <c r="E205" t="s">
        <v>11</v>
      </c>
      <c r="F205" t="s">
        <v>17</v>
      </c>
      <c r="G205" t="s">
        <v>18</v>
      </c>
      <c r="H205">
        <v>27251.47</v>
      </c>
      <c r="I205">
        <v>0</v>
      </c>
      <c r="J205" t="str">
        <f t="shared" si="15"/>
        <v>High</v>
      </c>
      <c r="K205" t="str">
        <f t="shared" si="16"/>
        <v>Normal</v>
      </c>
      <c r="L205">
        <f t="shared" si="17"/>
        <v>1</v>
      </c>
      <c r="M205">
        <f t="shared" si="18"/>
        <v>1</v>
      </c>
      <c r="N205" s="6">
        <f t="shared" si="19"/>
        <v>45691</v>
      </c>
    </row>
    <row r="206" spans="1:14" x14ac:dyDescent="0.3">
      <c r="A206">
        <v>813</v>
      </c>
      <c r="B206">
        <v>10068</v>
      </c>
      <c r="C206" t="s">
        <v>836</v>
      </c>
      <c r="D206" t="s">
        <v>29</v>
      </c>
      <c r="E206" t="s">
        <v>24</v>
      </c>
      <c r="F206" t="s">
        <v>12</v>
      </c>
      <c r="G206" t="s">
        <v>21</v>
      </c>
      <c r="H206">
        <v>39976.76</v>
      </c>
      <c r="I206">
        <v>0</v>
      </c>
      <c r="J206" t="str">
        <f t="shared" si="15"/>
        <v>High</v>
      </c>
      <c r="K206" t="str">
        <f t="shared" si="16"/>
        <v>Normal</v>
      </c>
      <c r="L206">
        <f t="shared" si="17"/>
        <v>1</v>
      </c>
      <c r="M206">
        <f t="shared" si="18"/>
        <v>1</v>
      </c>
      <c r="N206" s="6">
        <f t="shared" si="19"/>
        <v>45691</v>
      </c>
    </row>
    <row r="207" spans="1:14" x14ac:dyDescent="0.3">
      <c r="A207">
        <v>814</v>
      </c>
      <c r="B207">
        <v>10094</v>
      </c>
      <c r="C207" t="s">
        <v>837</v>
      </c>
      <c r="D207" t="s">
        <v>23</v>
      </c>
      <c r="E207" t="s">
        <v>24</v>
      </c>
      <c r="F207" t="s">
        <v>17</v>
      </c>
      <c r="G207" t="s">
        <v>18</v>
      </c>
      <c r="H207">
        <v>59899.65</v>
      </c>
      <c r="I207">
        <v>0</v>
      </c>
      <c r="J207" t="str">
        <f t="shared" si="15"/>
        <v>High</v>
      </c>
      <c r="K207" t="str">
        <f t="shared" si="16"/>
        <v>Normal</v>
      </c>
      <c r="L207">
        <f t="shared" si="17"/>
        <v>1</v>
      </c>
      <c r="M207">
        <f t="shared" si="18"/>
        <v>1</v>
      </c>
      <c r="N207" s="6">
        <f t="shared" si="19"/>
        <v>45691</v>
      </c>
    </row>
    <row r="208" spans="1:14" x14ac:dyDescent="0.3">
      <c r="A208">
        <v>815</v>
      </c>
      <c r="B208">
        <v>10004</v>
      </c>
      <c r="C208" t="s">
        <v>838</v>
      </c>
      <c r="D208" t="s">
        <v>23</v>
      </c>
      <c r="E208" t="s">
        <v>11</v>
      </c>
      <c r="F208" t="s">
        <v>12</v>
      </c>
      <c r="G208" t="s">
        <v>18</v>
      </c>
      <c r="H208">
        <v>65329.67</v>
      </c>
      <c r="I208">
        <v>1</v>
      </c>
      <c r="J208" t="str">
        <f t="shared" si="15"/>
        <v>High</v>
      </c>
      <c r="K208" t="str">
        <f t="shared" si="16"/>
        <v>High Risk</v>
      </c>
      <c r="L208">
        <f t="shared" si="17"/>
        <v>1</v>
      </c>
      <c r="M208">
        <f t="shared" si="18"/>
        <v>1</v>
      </c>
      <c r="N208" s="6">
        <f t="shared" si="19"/>
        <v>45691</v>
      </c>
    </row>
    <row r="209" spans="1:14" x14ac:dyDescent="0.3">
      <c r="A209">
        <v>816</v>
      </c>
      <c r="B209">
        <v>10002</v>
      </c>
      <c r="C209" t="s">
        <v>839</v>
      </c>
      <c r="D209" t="s">
        <v>15</v>
      </c>
      <c r="E209" t="s">
        <v>16</v>
      </c>
      <c r="F209" t="s">
        <v>17</v>
      </c>
      <c r="G209" t="s">
        <v>18</v>
      </c>
      <c r="H209">
        <v>15476.56</v>
      </c>
      <c r="I209">
        <v>0</v>
      </c>
      <c r="J209" t="str">
        <f t="shared" si="15"/>
        <v>High</v>
      </c>
      <c r="K209" t="str">
        <f t="shared" si="16"/>
        <v>Normal</v>
      </c>
      <c r="L209">
        <f t="shared" si="17"/>
        <v>1</v>
      </c>
      <c r="M209">
        <f t="shared" si="18"/>
        <v>1</v>
      </c>
      <c r="N209" s="6">
        <f t="shared" si="19"/>
        <v>45691</v>
      </c>
    </row>
    <row r="210" spans="1:14" x14ac:dyDescent="0.3">
      <c r="A210">
        <v>769</v>
      </c>
      <c r="B210">
        <v>10016</v>
      </c>
      <c r="C210" t="s">
        <v>792</v>
      </c>
      <c r="D210" t="s">
        <v>10</v>
      </c>
      <c r="E210" t="s">
        <v>24</v>
      </c>
      <c r="F210" t="s">
        <v>12</v>
      </c>
      <c r="G210" t="s">
        <v>31</v>
      </c>
      <c r="H210">
        <v>6674.59</v>
      </c>
      <c r="I210">
        <v>0</v>
      </c>
      <c r="J210" t="str">
        <f t="shared" si="15"/>
        <v>High</v>
      </c>
      <c r="K210" t="str">
        <f t="shared" si="16"/>
        <v>Normal</v>
      </c>
      <c r="L210">
        <f t="shared" si="17"/>
        <v>1</v>
      </c>
      <c r="M210">
        <f t="shared" si="18"/>
        <v>1</v>
      </c>
      <c r="N210" s="6">
        <f t="shared" si="19"/>
        <v>45690</v>
      </c>
    </row>
    <row r="211" spans="1:14" x14ac:dyDescent="0.3">
      <c r="A211">
        <v>770</v>
      </c>
      <c r="B211">
        <v>10072</v>
      </c>
      <c r="C211" t="s">
        <v>793</v>
      </c>
      <c r="D211" t="s">
        <v>23</v>
      </c>
      <c r="E211" t="s">
        <v>11</v>
      </c>
      <c r="F211" t="s">
        <v>17</v>
      </c>
      <c r="G211" t="s">
        <v>18</v>
      </c>
      <c r="H211">
        <v>89142.69</v>
      </c>
      <c r="I211">
        <v>1</v>
      </c>
      <c r="J211" t="str">
        <f t="shared" si="15"/>
        <v>High</v>
      </c>
      <c r="K211" t="str">
        <f t="shared" si="16"/>
        <v>High Risk</v>
      </c>
      <c r="L211">
        <f t="shared" si="17"/>
        <v>1</v>
      </c>
      <c r="M211">
        <f t="shared" si="18"/>
        <v>1</v>
      </c>
      <c r="N211" s="6">
        <f t="shared" si="19"/>
        <v>45690</v>
      </c>
    </row>
    <row r="212" spans="1:14" x14ac:dyDescent="0.3">
      <c r="A212">
        <v>771</v>
      </c>
      <c r="B212">
        <v>10032</v>
      </c>
      <c r="C212" t="s">
        <v>794</v>
      </c>
      <c r="D212" t="s">
        <v>29</v>
      </c>
      <c r="E212" t="s">
        <v>11</v>
      </c>
      <c r="F212" t="s">
        <v>17</v>
      </c>
      <c r="G212" t="s">
        <v>21</v>
      </c>
      <c r="H212">
        <v>46435.040000000001</v>
      </c>
      <c r="I212">
        <v>0</v>
      </c>
      <c r="J212" t="str">
        <f t="shared" si="15"/>
        <v>High</v>
      </c>
      <c r="K212" t="str">
        <f t="shared" si="16"/>
        <v>Normal</v>
      </c>
      <c r="L212">
        <f t="shared" si="17"/>
        <v>1</v>
      </c>
      <c r="M212">
        <f t="shared" si="18"/>
        <v>1</v>
      </c>
      <c r="N212" s="6">
        <f t="shared" si="19"/>
        <v>45690</v>
      </c>
    </row>
    <row r="213" spans="1:14" x14ac:dyDescent="0.3">
      <c r="A213">
        <v>772</v>
      </c>
      <c r="B213">
        <v>10083</v>
      </c>
      <c r="C213" t="s">
        <v>795</v>
      </c>
      <c r="D213" t="s">
        <v>15</v>
      </c>
      <c r="E213" t="s">
        <v>11</v>
      </c>
      <c r="F213" t="s">
        <v>12</v>
      </c>
      <c r="G213" t="s">
        <v>18</v>
      </c>
      <c r="H213">
        <v>32070.73</v>
      </c>
      <c r="I213">
        <v>0</v>
      </c>
      <c r="J213" t="str">
        <f t="shared" si="15"/>
        <v>High</v>
      </c>
      <c r="K213" t="str">
        <f t="shared" si="16"/>
        <v>Normal</v>
      </c>
      <c r="L213">
        <f t="shared" si="17"/>
        <v>1</v>
      </c>
      <c r="M213">
        <f t="shared" si="18"/>
        <v>1</v>
      </c>
      <c r="N213" s="6">
        <f t="shared" si="19"/>
        <v>45690</v>
      </c>
    </row>
    <row r="214" spans="1:14" x14ac:dyDescent="0.3">
      <c r="A214">
        <v>773</v>
      </c>
      <c r="B214">
        <v>10076</v>
      </c>
      <c r="C214" t="s">
        <v>796</v>
      </c>
      <c r="D214" t="s">
        <v>29</v>
      </c>
      <c r="E214" t="s">
        <v>24</v>
      </c>
      <c r="F214" t="s">
        <v>17</v>
      </c>
      <c r="G214" t="s">
        <v>25</v>
      </c>
      <c r="H214">
        <v>47698.48</v>
      </c>
      <c r="I214">
        <v>0</v>
      </c>
      <c r="J214" t="str">
        <f t="shared" si="15"/>
        <v>High</v>
      </c>
      <c r="K214" t="str">
        <f t="shared" si="16"/>
        <v>Normal</v>
      </c>
      <c r="L214">
        <f t="shared" si="17"/>
        <v>1</v>
      </c>
      <c r="M214">
        <f t="shared" si="18"/>
        <v>1</v>
      </c>
      <c r="N214" s="6">
        <f t="shared" si="19"/>
        <v>45690</v>
      </c>
    </row>
    <row r="215" spans="1:14" x14ac:dyDescent="0.3">
      <c r="A215">
        <v>774</v>
      </c>
      <c r="B215">
        <v>10091</v>
      </c>
      <c r="C215" t="s">
        <v>797</v>
      </c>
      <c r="D215" t="s">
        <v>10</v>
      </c>
      <c r="E215" t="s">
        <v>24</v>
      </c>
      <c r="F215" t="s">
        <v>17</v>
      </c>
      <c r="G215" t="s">
        <v>18</v>
      </c>
      <c r="H215">
        <v>31898.58</v>
      </c>
      <c r="I215">
        <v>0</v>
      </c>
      <c r="J215" t="str">
        <f t="shared" si="15"/>
        <v>High</v>
      </c>
      <c r="K215" t="str">
        <f t="shared" si="16"/>
        <v>Normal</v>
      </c>
      <c r="L215">
        <f t="shared" si="17"/>
        <v>1</v>
      </c>
      <c r="M215">
        <f t="shared" si="18"/>
        <v>1</v>
      </c>
      <c r="N215" s="6">
        <f t="shared" si="19"/>
        <v>45690</v>
      </c>
    </row>
    <row r="216" spans="1:14" x14ac:dyDescent="0.3">
      <c r="A216">
        <v>775</v>
      </c>
      <c r="B216">
        <v>10028</v>
      </c>
      <c r="C216" t="s">
        <v>798</v>
      </c>
      <c r="D216" t="s">
        <v>10</v>
      </c>
      <c r="E216" t="s">
        <v>16</v>
      </c>
      <c r="F216" t="s">
        <v>17</v>
      </c>
      <c r="G216" t="s">
        <v>31</v>
      </c>
      <c r="H216">
        <v>48954.67</v>
      </c>
      <c r="I216">
        <v>0</v>
      </c>
      <c r="J216" t="str">
        <f t="shared" si="15"/>
        <v>High</v>
      </c>
      <c r="K216" t="str">
        <f t="shared" si="16"/>
        <v>Normal</v>
      </c>
      <c r="L216">
        <f t="shared" si="17"/>
        <v>1</v>
      </c>
      <c r="M216">
        <f t="shared" si="18"/>
        <v>1</v>
      </c>
      <c r="N216" s="6">
        <f t="shared" si="19"/>
        <v>45690</v>
      </c>
    </row>
    <row r="217" spans="1:14" x14ac:dyDescent="0.3">
      <c r="A217">
        <v>776</v>
      </c>
      <c r="B217">
        <v>10012</v>
      </c>
      <c r="C217" t="s">
        <v>799</v>
      </c>
      <c r="D217" t="s">
        <v>23</v>
      </c>
      <c r="E217" t="s">
        <v>11</v>
      </c>
      <c r="F217" t="s">
        <v>17</v>
      </c>
      <c r="G217" t="s">
        <v>25</v>
      </c>
      <c r="H217">
        <v>85969.68</v>
      </c>
      <c r="I217">
        <v>1</v>
      </c>
      <c r="J217" t="str">
        <f t="shared" si="15"/>
        <v>High</v>
      </c>
      <c r="K217" t="str">
        <f t="shared" si="16"/>
        <v>High Risk</v>
      </c>
      <c r="L217">
        <f t="shared" si="17"/>
        <v>1</v>
      </c>
      <c r="M217">
        <f t="shared" si="18"/>
        <v>1</v>
      </c>
      <c r="N217" s="6">
        <f t="shared" si="19"/>
        <v>45690</v>
      </c>
    </row>
    <row r="218" spans="1:14" x14ac:dyDescent="0.3">
      <c r="A218">
        <v>777</v>
      </c>
      <c r="B218">
        <v>10045</v>
      </c>
      <c r="C218" t="s">
        <v>800</v>
      </c>
      <c r="D218" t="s">
        <v>29</v>
      </c>
      <c r="E218" t="s">
        <v>16</v>
      </c>
      <c r="F218" t="s">
        <v>17</v>
      </c>
      <c r="G218" t="s">
        <v>21</v>
      </c>
      <c r="H218">
        <v>59270.91</v>
      </c>
      <c r="I218">
        <v>0</v>
      </c>
      <c r="J218" t="str">
        <f t="shared" si="15"/>
        <v>High</v>
      </c>
      <c r="K218" t="str">
        <f t="shared" si="16"/>
        <v>Normal</v>
      </c>
      <c r="L218">
        <f t="shared" si="17"/>
        <v>1</v>
      </c>
      <c r="M218">
        <f t="shared" si="18"/>
        <v>1</v>
      </c>
      <c r="N218" s="6">
        <f t="shared" si="19"/>
        <v>45690</v>
      </c>
    </row>
    <row r="219" spans="1:14" x14ac:dyDescent="0.3">
      <c r="A219">
        <v>778</v>
      </c>
      <c r="B219">
        <v>10034</v>
      </c>
      <c r="C219" t="s">
        <v>801</v>
      </c>
      <c r="D219" t="s">
        <v>15</v>
      </c>
      <c r="E219" t="s">
        <v>11</v>
      </c>
      <c r="F219" t="s">
        <v>12</v>
      </c>
      <c r="G219" t="s">
        <v>21</v>
      </c>
      <c r="H219">
        <v>69495.91</v>
      </c>
      <c r="I219">
        <v>1</v>
      </c>
      <c r="J219" t="str">
        <f t="shared" si="15"/>
        <v>High</v>
      </c>
      <c r="K219" t="str">
        <f t="shared" si="16"/>
        <v>High Risk</v>
      </c>
      <c r="L219">
        <f t="shared" si="17"/>
        <v>1</v>
      </c>
      <c r="M219">
        <f t="shared" si="18"/>
        <v>1</v>
      </c>
      <c r="N219" s="6">
        <f t="shared" si="19"/>
        <v>45690</v>
      </c>
    </row>
    <row r="220" spans="1:14" x14ac:dyDescent="0.3">
      <c r="A220">
        <v>779</v>
      </c>
      <c r="B220">
        <v>10005</v>
      </c>
      <c r="C220" t="s">
        <v>802</v>
      </c>
      <c r="D220" t="s">
        <v>15</v>
      </c>
      <c r="E220" t="s">
        <v>24</v>
      </c>
      <c r="F220" t="s">
        <v>17</v>
      </c>
      <c r="G220" t="s">
        <v>13</v>
      </c>
      <c r="H220">
        <v>36530.6</v>
      </c>
      <c r="I220">
        <v>0</v>
      </c>
      <c r="J220" t="str">
        <f t="shared" si="15"/>
        <v>High</v>
      </c>
      <c r="K220" t="str">
        <f t="shared" si="16"/>
        <v>Normal</v>
      </c>
      <c r="L220">
        <f t="shared" si="17"/>
        <v>1</v>
      </c>
      <c r="M220">
        <f t="shared" si="18"/>
        <v>1</v>
      </c>
      <c r="N220" s="6">
        <f t="shared" si="19"/>
        <v>45690</v>
      </c>
    </row>
    <row r="221" spans="1:14" x14ac:dyDescent="0.3">
      <c r="A221">
        <v>780</v>
      </c>
      <c r="B221">
        <v>10081</v>
      </c>
      <c r="C221" t="s">
        <v>803</v>
      </c>
      <c r="D221" t="s">
        <v>20</v>
      </c>
      <c r="E221" t="s">
        <v>24</v>
      </c>
      <c r="F221" t="s">
        <v>17</v>
      </c>
      <c r="G221" t="s">
        <v>25</v>
      </c>
      <c r="H221">
        <v>73876.740000000005</v>
      </c>
      <c r="I221">
        <v>0</v>
      </c>
      <c r="J221" t="str">
        <f t="shared" si="15"/>
        <v>High</v>
      </c>
      <c r="K221" t="str">
        <f t="shared" si="16"/>
        <v>Normal</v>
      </c>
      <c r="L221">
        <f t="shared" si="17"/>
        <v>1</v>
      </c>
      <c r="M221">
        <f t="shared" si="18"/>
        <v>1</v>
      </c>
      <c r="N221" s="6">
        <f t="shared" si="19"/>
        <v>45690</v>
      </c>
    </row>
    <row r="222" spans="1:14" x14ac:dyDescent="0.3">
      <c r="A222">
        <v>781</v>
      </c>
      <c r="B222">
        <v>10068</v>
      </c>
      <c r="C222" t="s">
        <v>804</v>
      </c>
      <c r="D222" t="s">
        <v>15</v>
      </c>
      <c r="E222" t="s">
        <v>24</v>
      </c>
      <c r="F222" t="s">
        <v>17</v>
      </c>
      <c r="G222" t="s">
        <v>13</v>
      </c>
      <c r="H222">
        <v>66695.05</v>
      </c>
      <c r="I222">
        <v>0</v>
      </c>
      <c r="J222" t="str">
        <f t="shared" si="15"/>
        <v>High</v>
      </c>
      <c r="K222" t="str">
        <f t="shared" si="16"/>
        <v>Normal</v>
      </c>
      <c r="L222">
        <f t="shared" si="17"/>
        <v>1</v>
      </c>
      <c r="M222">
        <f t="shared" si="18"/>
        <v>1</v>
      </c>
      <c r="N222" s="6">
        <f t="shared" si="19"/>
        <v>45690</v>
      </c>
    </row>
    <row r="223" spans="1:14" x14ac:dyDescent="0.3">
      <c r="A223">
        <v>782</v>
      </c>
      <c r="B223">
        <v>10046</v>
      </c>
      <c r="C223" t="s">
        <v>805</v>
      </c>
      <c r="D223" t="s">
        <v>23</v>
      </c>
      <c r="E223" t="s">
        <v>11</v>
      </c>
      <c r="F223" t="s">
        <v>12</v>
      </c>
      <c r="G223" t="s">
        <v>25</v>
      </c>
      <c r="H223">
        <v>12044.24</v>
      </c>
      <c r="I223">
        <v>0</v>
      </c>
      <c r="J223" t="str">
        <f t="shared" si="15"/>
        <v>High</v>
      </c>
      <c r="K223" t="str">
        <f t="shared" si="16"/>
        <v>Normal</v>
      </c>
      <c r="L223">
        <f t="shared" si="17"/>
        <v>1</v>
      </c>
      <c r="M223">
        <f t="shared" si="18"/>
        <v>1</v>
      </c>
      <c r="N223" s="6">
        <f t="shared" si="19"/>
        <v>45690</v>
      </c>
    </row>
    <row r="224" spans="1:14" x14ac:dyDescent="0.3">
      <c r="A224">
        <v>783</v>
      </c>
      <c r="B224">
        <v>10024</v>
      </c>
      <c r="C224" t="s">
        <v>806</v>
      </c>
      <c r="D224" t="s">
        <v>23</v>
      </c>
      <c r="E224" t="s">
        <v>24</v>
      </c>
      <c r="F224" t="s">
        <v>12</v>
      </c>
      <c r="G224" t="s">
        <v>25</v>
      </c>
      <c r="H224">
        <v>57307.02</v>
      </c>
      <c r="I224">
        <v>0</v>
      </c>
      <c r="J224" t="str">
        <f t="shared" si="15"/>
        <v>High</v>
      </c>
      <c r="K224" t="str">
        <f t="shared" si="16"/>
        <v>Normal</v>
      </c>
      <c r="L224">
        <f t="shared" si="17"/>
        <v>1</v>
      </c>
      <c r="M224">
        <f t="shared" si="18"/>
        <v>1</v>
      </c>
      <c r="N224" s="6">
        <f t="shared" si="19"/>
        <v>45690</v>
      </c>
    </row>
    <row r="225" spans="1:14" x14ac:dyDescent="0.3">
      <c r="A225">
        <v>784</v>
      </c>
      <c r="B225">
        <v>10065</v>
      </c>
      <c r="C225" t="s">
        <v>807</v>
      </c>
      <c r="D225" t="s">
        <v>15</v>
      </c>
      <c r="E225" t="s">
        <v>11</v>
      </c>
      <c r="F225" t="s">
        <v>12</v>
      </c>
      <c r="G225" t="s">
        <v>31</v>
      </c>
      <c r="H225">
        <v>25748.68</v>
      </c>
      <c r="I225">
        <v>0</v>
      </c>
      <c r="J225" t="str">
        <f t="shared" si="15"/>
        <v>High</v>
      </c>
      <c r="K225" t="str">
        <f t="shared" si="16"/>
        <v>Normal</v>
      </c>
      <c r="L225">
        <f t="shared" si="17"/>
        <v>1</v>
      </c>
      <c r="M225">
        <f t="shared" si="18"/>
        <v>1</v>
      </c>
      <c r="N225" s="6">
        <f t="shared" si="19"/>
        <v>45690</v>
      </c>
    </row>
    <row r="226" spans="1:14" x14ac:dyDescent="0.3">
      <c r="A226">
        <v>785</v>
      </c>
      <c r="B226">
        <v>10009</v>
      </c>
      <c r="C226" t="s">
        <v>808</v>
      </c>
      <c r="D226" t="s">
        <v>15</v>
      </c>
      <c r="E226" t="s">
        <v>16</v>
      </c>
      <c r="F226" t="s">
        <v>12</v>
      </c>
      <c r="G226" t="s">
        <v>13</v>
      </c>
      <c r="H226">
        <v>80429.16</v>
      </c>
      <c r="I226">
        <v>0</v>
      </c>
      <c r="J226" t="str">
        <f t="shared" si="15"/>
        <v>High</v>
      </c>
      <c r="K226" t="str">
        <f t="shared" si="16"/>
        <v>Normal</v>
      </c>
      <c r="L226">
        <f t="shared" si="17"/>
        <v>1</v>
      </c>
      <c r="M226">
        <f t="shared" si="18"/>
        <v>1</v>
      </c>
      <c r="N226" s="6">
        <f t="shared" si="19"/>
        <v>45690</v>
      </c>
    </row>
    <row r="227" spans="1:14" x14ac:dyDescent="0.3">
      <c r="A227">
        <v>786</v>
      </c>
      <c r="B227">
        <v>10055</v>
      </c>
      <c r="C227" t="s">
        <v>809</v>
      </c>
      <c r="D227" t="s">
        <v>20</v>
      </c>
      <c r="E227" t="s">
        <v>11</v>
      </c>
      <c r="F227" t="s">
        <v>17</v>
      </c>
      <c r="G227" t="s">
        <v>31</v>
      </c>
      <c r="H227">
        <v>42651.18</v>
      </c>
      <c r="I227">
        <v>0</v>
      </c>
      <c r="J227" t="str">
        <f t="shared" si="15"/>
        <v>High</v>
      </c>
      <c r="K227" t="str">
        <f t="shared" si="16"/>
        <v>Normal</v>
      </c>
      <c r="L227">
        <f t="shared" si="17"/>
        <v>1</v>
      </c>
      <c r="M227">
        <f t="shared" si="18"/>
        <v>1</v>
      </c>
      <c r="N227" s="6">
        <f t="shared" si="19"/>
        <v>45690</v>
      </c>
    </row>
    <row r="228" spans="1:14" x14ac:dyDescent="0.3">
      <c r="A228">
        <v>787</v>
      </c>
      <c r="B228">
        <v>10029</v>
      </c>
      <c r="C228" t="s">
        <v>810</v>
      </c>
      <c r="D228" t="s">
        <v>15</v>
      </c>
      <c r="E228" t="s">
        <v>16</v>
      </c>
      <c r="F228" t="s">
        <v>12</v>
      </c>
      <c r="G228" t="s">
        <v>25</v>
      </c>
      <c r="H228">
        <v>99468.95</v>
      </c>
      <c r="I228">
        <v>0</v>
      </c>
      <c r="J228" t="str">
        <f t="shared" si="15"/>
        <v>High</v>
      </c>
      <c r="K228" t="str">
        <f t="shared" si="16"/>
        <v>Normal</v>
      </c>
      <c r="L228">
        <f t="shared" si="17"/>
        <v>1</v>
      </c>
      <c r="M228">
        <f t="shared" si="18"/>
        <v>1</v>
      </c>
      <c r="N228" s="6">
        <f t="shared" si="19"/>
        <v>45690</v>
      </c>
    </row>
    <row r="229" spans="1:14" x14ac:dyDescent="0.3">
      <c r="A229">
        <v>788</v>
      </c>
      <c r="B229">
        <v>10004</v>
      </c>
      <c r="C229" t="s">
        <v>811</v>
      </c>
      <c r="D229" t="s">
        <v>20</v>
      </c>
      <c r="E229" t="s">
        <v>11</v>
      </c>
      <c r="F229" t="s">
        <v>17</v>
      </c>
      <c r="G229" t="s">
        <v>21</v>
      </c>
      <c r="H229">
        <v>9340.7900000000009</v>
      </c>
      <c r="I229">
        <v>0</v>
      </c>
      <c r="J229" t="str">
        <f t="shared" si="15"/>
        <v>High</v>
      </c>
      <c r="K229" t="str">
        <f t="shared" si="16"/>
        <v>Normal</v>
      </c>
      <c r="L229">
        <f t="shared" si="17"/>
        <v>1</v>
      </c>
      <c r="M229">
        <f t="shared" si="18"/>
        <v>1</v>
      </c>
      <c r="N229" s="6">
        <f t="shared" si="19"/>
        <v>45690</v>
      </c>
    </row>
    <row r="230" spans="1:14" x14ac:dyDescent="0.3">
      <c r="A230">
        <v>789</v>
      </c>
      <c r="B230">
        <v>10032</v>
      </c>
      <c r="C230" t="s">
        <v>812</v>
      </c>
      <c r="D230" t="s">
        <v>20</v>
      </c>
      <c r="E230" t="s">
        <v>16</v>
      </c>
      <c r="F230" t="s">
        <v>17</v>
      </c>
      <c r="G230" t="s">
        <v>25</v>
      </c>
      <c r="H230">
        <v>78056.75</v>
      </c>
      <c r="I230">
        <v>0</v>
      </c>
      <c r="J230" t="str">
        <f t="shared" si="15"/>
        <v>High</v>
      </c>
      <c r="K230" t="str">
        <f t="shared" si="16"/>
        <v>Normal</v>
      </c>
      <c r="L230">
        <f t="shared" si="17"/>
        <v>1</v>
      </c>
      <c r="M230">
        <f t="shared" si="18"/>
        <v>1</v>
      </c>
      <c r="N230" s="6">
        <f t="shared" si="19"/>
        <v>45690</v>
      </c>
    </row>
    <row r="231" spans="1:14" x14ac:dyDescent="0.3">
      <c r="A231">
        <v>790</v>
      </c>
      <c r="B231">
        <v>10064</v>
      </c>
      <c r="C231" t="s">
        <v>813</v>
      </c>
      <c r="D231" t="s">
        <v>15</v>
      </c>
      <c r="E231" t="s">
        <v>24</v>
      </c>
      <c r="F231" t="s">
        <v>12</v>
      </c>
      <c r="G231" t="s">
        <v>31</v>
      </c>
      <c r="H231">
        <v>67402.8</v>
      </c>
      <c r="I231">
        <v>0</v>
      </c>
      <c r="J231" t="str">
        <f t="shared" si="15"/>
        <v>High</v>
      </c>
      <c r="K231" t="str">
        <f t="shared" si="16"/>
        <v>Normal</v>
      </c>
      <c r="L231">
        <f t="shared" si="17"/>
        <v>1</v>
      </c>
      <c r="M231">
        <f t="shared" si="18"/>
        <v>1</v>
      </c>
      <c r="N231" s="6">
        <f t="shared" si="19"/>
        <v>45690</v>
      </c>
    </row>
    <row r="232" spans="1:14" x14ac:dyDescent="0.3">
      <c r="A232">
        <v>791</v>
      </c>
      <c r="B232">
        <v>10017</v>
      </c>
      <c r="C232" t="s">
        <v>814</v>
      </c>
      <c r="D232" t="s">
        <v>10</v>
      </c>
      <c r="E232" t="s">
        <v>16</v>
      </c>
      <c r="F232" t="s">
        <v>12</v>
      </c>
      <c r="G232" t="s">
        <v>13</v>
      </c>
      <c r="H232">
        <v>76773.13</v>
      </c>
      <c r="I232">
        <v>0</v>
      </c>
      <c r="J232" t="str">
        <f t="shared" si="15"/>
        <v>High</v>
      </c>
      <c r="K232" t="str">
        <f t="shared" si="16"/>
        <v>Normal</v>
      </c>
      <c r="L232">
        <f t="shared" si="17"/>
        <v>1</v>
      </c>
      <c r="M232">
        <f t="shared" si="18"/>
        <v>1</v>
      </c>
      <c r="N232" s="6">
        <f t="shared" si="19"/>
        <v>45690</v>
      </c>
    </row>
    <row r="233" spans="1:14" x14ac:dyDescent="0.3">
      <c r="A233">
        <v>792</v>
      </c>
      <c r="B233">
        <v>10095</v>
      </c>
      <c r="C233" t="s">
        <v>815</v>
      </c>
      <c r="D233" t="s">
        <v>10</v>
      </c>
      <c r="E233" t="s">
        <v>24</v>
      </c>
      <c r="F233" t="s">
        <v>12</v>
      </c>
      <c r="G233" t="s">
        <v>13</v>
      </c>
      <c r="H233">
        <v>30822.23</v>
      </c>
      <c r="I233">
        <v>0</v>
      </c>
      <c r="J233" t="str">
        <f t="shared" si="15"/>
        <v>High</v>
      </c>
      <c r="K233" t="str">
        <f t="shared" si="16"/>
        <v>Normal</v>
      </c>
      <c r="L233">
        <f t="shared" si="17"/>
        <v>1</v>
      </c>
      <c r="M233">
        <f t="shared" si="18"/>
        <v>1</v>
      </c>
      <c r="N233" s="6">
        <f t="shared" si="19"/>
        <v>45690</v>
      </c>
    </row>
    <row r="234" spans="1:14" x14ac:dyDescent="0.3">
      <c r="A234">
        <v>745</v>
      </c>
      <c r="B234">
        <v>10074</v>
      </c>
      <c r="C234" t="s">
        <v>768</v>
      </c>
      <c r="D234" t="s">
        <v>15</v>
      </c>
      <c r="E234" t="s">
        <v>16</v>
      </c>
      <c r="F234" t="s">
        <v>17</v>
      </c>
      <c r="G234" t="s">
        <v>31</v>
      </c>
      <c r="H234">
        <v>89130.89</v>
      </c>
      <c r="I234">
        <v>0</v>
      </c>
      <c r="J234" t="str">
        <f t="shared" si="15"/>
        <v>High</v>
      </c>
      <c r="K234" t="str">
        <f t="shared" si="16"/>
        <v>Normal</v>
      </c>
      <c r="L234">
        <f t="shared" si="17"/>
        <v>1</v>
      </c>
      <c r="M234">
        <f t="shared" si="18"/>
        <v>1</v>
      </c>
      <c r="N234" s="6">
        <f t="shared" si="19"/>
        <v>45689</v>
      </c>
    </row>
    <row r="235" spans="1:14" x14ac:dyDescent="0.3">
      <c r="A235">
        <v>746</v>
      </c>
      <c r="B235">
        <v>10011</v>
      </c>
      <c r="C235" t="s">
        <v>769</v>
      </c>
      <c r="D235" t="s">
        <v>29</v>
      </c>
      <c r="E235" t="s">
        <v>11</v>
      </c>
      <c r="F235" t="s">
        <v>12</v>
      </c>
      <c r="G235" t="s">
        <v>25</v>
      </c>
      <c r="H235">
        <v>1462.04</v>
      </c>
      <c r="I235">
        <v>0</v>
      </c>
      <c r="J235" t="str">
        <f t="shared" si="15"/>
        <v>High</v>
      </c>
      <c r="K235" t="str">
        <f t="shared" si="16"/>
        <v>Normal</v>
      </c>
      <c r="L235">
        <f t="shared" si="17"/>
        <v>1</v>
      </c>
      <c r="M235">
        <f t="shared" si="18"/>
        <v>1</v>
      </c>
      <c r="N235" s="6">
        <f t="shared" si="19"/>
        <v>45689</v>
      </c>
    </row>
    <row r="236" spans="1:14" x14ac:dyDescent="0.3">
      <c r="A236">
        <v>747</v>
      </c>
      <c r="B236">
        <v>10073</v>
      </c>
      <c r="C236" t="s">
        <v>770</v>
      </c>
      <c r="D236" t="s">
        <v>29</v>
      </c>
      <c r="E236" t="s">
        <v>24</v>
      </c>
      <c r="F236" t="s">
        <v>17</v>
      </c>
      <c r="G236" t="s">
        <v>21</v>
      </c>
      <c r="H236">
        <v>32340.38</v>
      </c>
      <c r="I236">
        <v>0</v>
      </c>
      <c r="J236" t="str">
        <f t="shared" si="15"/>
        <v>High</v>
      </c>
      <c r="K236" t="str">
        <f t="shared" si="16"/>
        <v>Normal</v>
      </c>
      <c r="L236">
        <f t="shared" si="17"/>
        <v>1</v>
      </c>
      <c r="M236">
        <f t="shared" si="18"/>
        <v>1</v>
      </c>
      <c r="N236" s="6">
        <f t="shared" si="19"/>
        <v>45689</v>
      </c>
    </row>
    <row r="237" spans="1:14" x14ac:dyDescent="0.3">
      <c r="A237">
        <v>748</v>
      </c>
      <c r="B237">
        <v>10095</v>
      </c>
      <c r="C237" t="s">
        <v>771</v>
      </c>
      <c r="D237" t="s">
        <v>23</v>
      </c>
      <c r="E237" t="s">
        <v>16</v>
      </c>
      <c r="F237" t="s">
        <v>12</v>
      </c>
      <c r="G237" t="s">
        <v>25</v>
      </c>
      <c r="H237">
        <v>55480.23</v>
      </c>
      <c r="I237">
        <v>0</v>
      </c>
      <c r="J237" t="str">
        <f t="shared" si="15"/>
        <v>High</v>
      </c>
      <c r="K237" t="str">
        <f t="shared" si="16"/>
        <v>Normal</v>
      </c>
      <c r="L237">
        <f t="shared" si="17"/>
        <v>1</v>
      </c>
      <c r="M237">
        <f t="shared" si="18"/>
        <v>1</v>
      </c>
      <c r="N237" s="6">
        <f t="shared" si="19"/>
        <v>45689</v>
      </c>
    </row>
    <row r="238" spans="1:14" x14ac:dyDescent="0.3">
      <c r="A238">
        <v>749</v>
      </c>
      <c r="B238">
        <v>10015</v>
      </c>
      <c r="C238" t="s">
        <v>772</v>
      </c>
      <c r="D238" t="s">
        <v>10</v>
      </c>
      <c r="E238" t="s">
        <v>11</v>
      </c>
      <c r="F238" t="s">
        <v>12</v>
      </c>
      <c r="G238" t="s">
        <v>25</v>
      </c>
      <c r="H238">
        <v>14906.92</v>
      </c>
      <c r="I238">
        <v>0</v>
      </c>
      <c r="J238" t="str">
        <f t="shared" si="15"/>
        <v>High</v>
      </c>
      <c r="K238" t="str">
        <f t="shared" si="16"/>
        <v>Normal</v>
      </c>
      <c r="L238">
        <f t="shared" si="17"/>
        <v>1</v>
      </c>
      <c r="M238">
        <f t="shared" si="18"/>
        <v>1</v>
      </c>
      <c r="N238" s="6">
        <f t="shared" si="19"/>
        <v>45689</v>
      </c>
    </row>
    <row r="239" spans="1:14" x14ac:dyDescent="0.3">
      <c r="A239">
        <v>750</v>
      </c>
      <c r="B239">
        <v>10071</v>
      </c>
      <c r="C239" t="s">
        <v>773</v>
      </c>
      <c r="D239" t="s">
        <v>20</v>
      </c>
      <c r="E239" t="s">
        <v>16</v>
      </c>
      <c r="F239" t="s">
        <v>17</v>
      </c>
      <c r="G239" t="s">
        <v>21</v>
      </c>
      <c r="H239">
        <v>9300.67</v>
      </c>
      <c r="I239">
        <v>0</v>
      </c>
      <c r="J239" t="str">
        <f t="shared" si="15"/>
        <v>High</v>
      </c>
      <c r="K239" t="str">
        <f t="shared" si="16"/>
        <v>Normal</v>
      </c>
      <c r="L239">
        <f t="shared" si="17"/>
        <v>1</v>
      </c>
      <c r="M239">
        <f t="shared" si="18"/>
        <v>1</v>
      </c>
      <c r="N239" s="6">
        <f t="shared" si="19"/>
        <v>45689</v>
      </c>
    </row>
    <row r="240" spans="1:14" x14ac:dyDescent="0.3">
      <c r="A240">
        <v>751</v>
      </c>
      <c r="B240">
        <v>10075</v>
      </c>
      <c r="C240" t="s">
        <v>774</v>
      </c>
      <c r="D240" t="s">
        <v>23</v>
      </c>
      <c r="E240" t="s">
        <v>16</v>
      </c>
      <c r="F240" t="s">
        <v>17</v>
      </c>
      <c r="G240" t="s">
        <v>21</v>
      </c>
      <c r="H240">
        <v>81546.11</v>
      </c>
      <c r="I240">
        <v>0</v>
      </c>
      <c r="J240" t="str">
        <f t="shared" si="15"/>
        <v>High</v>
      </c>
      <c r="K240" t="str">
        <f t="shared" si="16"/>
        <v>Normal</v>
      </c>
      <c r="L240">
        <f t="shared" si="17"/>
        <v>1</v>
      </c>
      <c r="M240">
        <f t="shared" si="18"/>
        <v>1</v>
      </c>
      <c r="N240" s="6">
        <f t="shared" si="19"/>
        <v>45689</v>
      </c>
    </row>
    <row r="241" spans="1:14" x14ac:dyDescent="0.3">
      <c r="A241">
        <v>752</v>
      </c>
      <c r="B241">
        <v>10023</v>
      </c>
      <c r="C241" t="s">
        <v>775</v>
      </c>
      <c r="D241" t="s">
        <v>29</v>
      </c>
      <c r="E241" t="s">
        <v>16</v>
      </c>
      <c r="F241" t="s">
        <v>17</v>
      </c>
      <c r="G241" t="s">
        <v>18</v>
      </c>
      <c r="H241">
        <v>89451</v>
      </c>
      <c r="I241">
        <v>0</v>
      </c>
      <c r="J241" t="str">
        <f t="shared" si="15"/>
        <v>High</v>
      </c>
      <c r="K241" t="str">
        <f t="shared" si="16"/>
        <v>Normal</v>
      </c>
      <c r="L241">
        <f t="shared" si="17"/>
        <v>1</v>
      </c>
      <c r="M241">
        <f t="shared" si="18"/>
        <v>1</v>
      </c>
      <c r="N241" s="6">
        <f t="shared" si="19"/>
        <v>45689</v>
      </c>
    </row>
    <row r="242" spans="1:14" x14ac:dyDescent="0.3">
      <c r="A242">
        <v>753</v>
      </c>
      <c r="B242">
        <v>10027</v>
      </c>
      <c r="C242" t="s">
        <v>776</v>
      </c>
      <c r="D242" t="s">
        <v>20</v>
      </c>
      <c r="E242" t="s">
        <v>16</v>
      </c>
      <c r="F242" t="s">
        <v>17</v>
      </c>
      <c r="G242" t="s">
        <v>18</v>
      </c>
      <c r="H242">
        <v>82378.28</v>
      </c>
      <c r="I242">
        <v>0</v>
      </c>
      <c r="J242" t="str">
        <f t="shared" si="15"/>
        <v>High</v>
      </c>
      <c r="K242" t="str">
        <f t="shared" si="16"/>
        <v>Normal</v>
      </c>
      <c r="L242">
        <f t="shared" si="17"/>
        <v>1</v>
      </c>
      <c r="M242">
        <f t="shared" si="18"/>
        <v>1</v>
      </c>
      <c r="N242" s="6">
        <f t="shared" si="19"/>
        <v>45689</v>
      </c>
    </row>
    <row r="243" spans="1:14" x14ac:dyDescent="0.3">
      <c r="A243">
        <v>754</v>
      </c>
      <c r="B243">
        <v>10007</v>
      </c>
      <c r="C243" t="s">
        <v>777</v>
      </c>
      <c r="D243" t="s">
        <v>29</v>
      </c>
      <c r="E243" t="s">
        <v>11</v>
      </c>
      <c r="F243" t="s">
        <v>12</v>
      </c>
      <c r="G243" t="s">
        <v>21</v>
      </c>
      <c r="H243">
        <v>89888.91</v>
      </c>
      <c r="I243">
        <v>1</v>
      </c>
      <c r="J243" t="str">
        <f t="shared" si="15"/>
        <v>High</v>
      </c>
      <c r="K243" t="str">
        <f t="shared" si="16"/>
        <v>High Risk</v>
      </c>
      <c r="L243">
        <f t="shared" si="17"/>
        <v>1</v>
      </c>
      <c r="M243">
        <f t="shared" si="18"/>
        <v>1</v>
      </c>
      <c r="N243" s="6">
        <f t="shared" si="19"/>
        <v>45689</v>
      </c>
    </row>
    <row r="244" spans="1:14" x14ac:dyDescent="0.3">
      <c r="A244">
        <v>755</v>
      </c>
      <c r="B244">
        <v>10091</v>
      </c>
      <c r="C244" t="s">
        <v>778</v>
      </c>
      <c r="D244" t="s">
        <v>20</v>
      </c>
      <c r="E244" t="s">
        <v>24</v>
      </c>
      <c r="F244" t="s">
        <v>17</v>
      </c>
      <c r="G244" t="s">
        <v>13</v>
      </c>
      <c r="H244">
        <v>55355.89</v>
      </c>
      <c r="I244">
        <v>0</v>
      </c>
      <c r="J244" t="str">
        <f t="shared" si="15"/>
        <v>High</v>
      </c>
      <c r="K244" t="str">
        <f t="shared" si="16"/>
        <v>Normal</v>
      </c>
      <c r="L244">
        <f t="shared" si="17"/>
        <v>1</v>
      </c>
      <c r="M244">
        <f t="shared" si="18"/>
        <v>1</v>
      </c>
      <c r="N244" s="6">
        <f t="shared" si="19"/>
        <v>45689</v>
      </c>
    </row>
    <row r="245" spans="1:14" x14ac:dyDescent="0.3">
      <c r="A245">
        <v>756</v>
      </c>
      <c r="B245">
        <v>10035</v>
      </c>
      <c r="C245" t="s">
        <v>779</v>
      </c>
      <c r="D245" t="s">
        <v>10</v>
      </c>
      <c r="E245" t="s">
        <v>11</v>
      </c>
      <c r="F245" t="s">
        <v>17</v>
      </c>
      <c r="G245" t="s">
        <v>18</v>
      </c>
      <c r="H245">
        <v>81244.59</v>
      </c>
      <c r="I245">
        <v>1</v>
      </c>
      <c r="J245" t="str">
        <f t="shared" si="15"/>
        <v>High</v>
      </c>
      <c r="K245" t="str">
        <f t="shared" si="16"/>
        <v>High Risk</v>
      </c>
      <c r="L245">
        <f t="shared" si="17"/>
        <v>1</v>
      </c>
      <c r="M245">
        <f t="shared" si="18"/>
        <v>1</v>
      </c>
      <c r="N245" s="6">
        <f t="shared" si="19"/>
        <v>45689</v>
      </c>
    </row>
    <row r="246" spans="1:14" x14ac:dyDescent="0.3">
      <c r="A246">
        <v>757</v>
      </c>
      <c r="B246">
        <v>10089</v>
      </c>
      <c r="C246" t="s">
        <v>780</v>
      </c>
      <c r="D246" t="s">
        <v>23</v>
      </c>
      <c r="E246" t="s">
        <v>11</v>
      </c>
      <c r="F246" t="s">
        <v>17</v>
      </c>
      <c r="G246" t="s">
        <v>13</v>
      </c>
      <c r="H246">
        <v>38465.86</v>
      </c>
      <c r="I246">
        <v>0</v>
      </c>
      <c r="J246" t="str">
        <f t="shared" si="15"/>
        <v>High</v>
      </c>
      <c r="K246" t="str">
        <f t="shared" si="16"/>
        <v>Normal</v>
      </c>
      <c r="L246">
        <f t="shared" si="17"/>
        <v>1</v>
      </c>
      <c r="M246">
        <f t="shared" si="18"/>
        <v>1</v>
      </c>
      <c r="N246" s="6">
        <f t="shared" si="19"/>
        <v>45689</v>
      </c>
    </row>
    <row r="247" spans="1:14" x14ac:dyDescent="0.3">
      <c r="A247">
        <v>758</v>
      </c>
      <c r="B247">
        <v>10007</v>
      </c>
      <c r="C247" t="s">
        <v>781</v>
      </c>
      <c r="D247" t="s">
        <v>20</v>
      </c>
      <c r="E247" t="s">
        <v>11</v>
      </c>
      <c r="F247" t="s">
        <v>12</v>
      </c>
      <c r="G247" t="s">
        <v>21</v>
      </c>
      <c r="H247">
        <v>66660.160000000003</v>
      </c>
      <c r="I247">
        <v>1</v>
      </c>
      <c r="J247" t="str">
        <f t="shared" si="15"/>
        <v>High</v>
      </c>
      <c r="K247" t="str">
        <f t="shared" si="16"/>
        <v>High Risk</v>
      </c>
      <c r="L247">
        <f t="shared" si="17"/>
        <v>1</v>
      </c>
      <c r="M247">
        <f t="shared" si="18"/>
        <v>1</v>
      </c>
      <c r="N247" s="6">
        <f t="shared" si="19"/>
        <v>45689</v>
      </c>
    </row>
    <row r="248" spans="1:14" x14ac:dyDescent="0.3">
      <c r="A248">
        <v>759</v>
      </c>
      <c r="B248">
        <v>10057</v>
      </c>
      <c r="C248" t="s">
        <v>782</v>
      </c>
      <c r="D248" t="s">
        <v>15</v>
      </c>
      <c r="E248" t="s">
        <v>24</v>
      </c>
      <c r="F248" t="s">
        <v>17</v>
      </c>
      <c r="G248" t="s">
        <v>18</v>
      </c>
      <c r="H248">
        <v>98884.67</v>
      </c>
      <c r="I248">
        <v>0</v>
      </c>
      <c r="J248" t="str">
        <f t="shared" si="15"/>
        <v>High</v>
      </c>
      <c r="K248" t="str">
        <f t="shared" si="16"/>
        <v>Normal</v>
      </c>
      <c r="L248">
        <f t="shared" si="17"/>
        <v>1</v>
      </c>
      <c r="M248">
        <f t="shared" si="18"/>
        <v>1</v>
      </c>
      <c r="N248" s="6">
        <f t="shared" si="19"/>
        <v>45689</v>
      </c>
    </row>
    <row r="249" spans="1:14" x14ac:dyDescent="0.3">
      <c r="A249">
        <v>760</v>
      </c>
      <c r="B249">
        <v>10059</v>
      </c>
      <c r="C249" t="s">
        <v>783</v>
      </c>
      <c r="D249" t="s">
        <v>15</v>
      </c>
      <c r="E249" t="s">
        <v>16</v>
      </c>
      <c r="F249" t="s">
        <v>17</v>
      </c>
      <c r="G249" t="s">
        <v>25</v>
      </c>
      <c r="H249">
        <v>22650.2</v>
      </c>
      <c r="I249">
        <v>0</v>
      </c>
      <c r="J249" t="str">
        <f t="shared" si="15"/>
        <v>High</v>
      </c>
      <c r="K249" t="str">
        <f t="shared" si="16"/>
        <v>Normal</v>
      </c>
      <c r="L249">
        <f t="shared" si="17"/>
        <v>1</v>
      </c>
      <c r="M249">
        <f t="shared" si="18"/>
        <v>1</v>
      </c>
      <c r="N249" s="6">
        <f t="shared" si="19"/>
        <v>45689</v>
      </c>
    </row>
    <row r="250" spans="1:14" x14ac:dyDescent="0.3">
      <c r="A250">
        <v>761</v>
      </c>
      <c r="B250">
        <v>10049</v>
      </c>
      <c r="C250" t="s">
        <v>784</v>
      </c>
      <c r="D250" t="s">
        <v>20</v>
      </c>
      <c r="E250" t="s">
        <v>16</v>
      </c>
      <c r="F250" t="s">
        <v>12</v>
      </c>
      <c r="G250" t="s">
        <v>21</v>
      </c>
      <c r="H250">
        <v>39050.980000000003</v>
      </c>
      <c r="I250">
        <v>0</v>
      </c>
      <c r="J250" t="str">
        <f t="shared" si="15"/>
        <v>High</v>
      </c>
      <c r="K250" t="str">
        <f t="shared" si="16"/>
        <v>Normal</v>
      </c>
      <c r="L250">
        <f t="shared" si="17"/>
        <v>1</v>
      </c>
      <c r="M250">
        <f t="shared" si="18"/>
        <v>1</v>
      </c>
      <c r="N250" s="6">
        <f t="shared" si="19"/>
        <v>45689</v>
      </c>
    </row>
    <row r="251" spans="1:14" x14ac:dyDescent="0.3">
      <c r="A251">
        <v>762</v>
      </c>
      <c r="B251">
        <v>10027</v>
      </c>
      <c r="C251" t="s">
        <v>785</v>
      </c>
      <c r="D251" t="s">
        <v>20</v>
      </c>
      <c r="E251" t="s">
        <v>16</v>
      </c>
      <c r="F251" t="s">
        <v>12</v>
      </c>
      <c r="G251" t="s">
        <v>31</v>
      </c>
      <c r="H251">
        <v>48056.73</v>
      </c>
      <c r="I251">
        <v>0</v>
      </c>
      <c r="J251" t="str">
        <f t="shared" si="15"/>
        <v>High</v>
      </c>
      <c r="K251" t="str">
        <f t="shared" si="16"/>
        <v>Normal</v>
      </c>
      <c r="L251">
        <f t="shared" si="17"/>
        <v>1</v>
      </c>
      <c r="M251">
        <f t="shared" si="18"/>
        <v>1</v>
      </c>
      <c r="N251" s="6">
        <f t="shared" si="19"/>
        <v>45689</v>
      </c>
    </row>
    <row r="252" spans="1:14" x14ac:dyDescent="0.3">
      <c r="A252">
        <v>763</v>
      </c>
      <c r="B252">
        <v>10091</v>
      </c>
      <c r="C252" t="s">
        <v>786</v>
      </c>
      <c r="D252" t="s">
        <v>20</v>
      </c>
      <c r="E252" t="s">
        <v>24</v>
      </c>
      <c r="F252" t="s">
        <v>17</v>
      </c>
      <c r="G252" t="s">
        <v>13</v>
      </c>
      <c r="H252">
        <v>13887.75</v>
      </c>
      <c r="I252">
        <v>0</v>
      </c>
      <c r="J252" t="str">
        <f t="shared" si="15"/>
        <v>High</v>
      </c>
      <c r="K252" t="str">
        <f t="shared" si="16"/>
        <v>Normal</v>
      </c>
      <c r="L252">
        <f t="shared" si="17"/>
        <v>1</v>
      </c>
      <c r="M252">
        <f t="shared" si="18"/>
        <v>1</v>
      </c>
      <c r="N252" s="6">
        <f t="shared" si="19"/>
        <v>45689</v>
      </c>
    </row>
    <row r="253" spans="1:14" x14ac:dyDescent="0.3">
      <c r="A253">
        <v>764</v>
      </c>
      <c r="B253">
        <v>10040</v>
      </c>
      <c r="C253" t="s">
        <v>787</v>
      </c>
      <c r="D253" t="s">
        <v>15</v>
      </c>
      <c r="E253" t="s">
        <v>16</v>
      </c>
      <c r="F253" t="s">
        <v>17</v>
      </c>
      <c r="G253" t="s">
        <v>21</v>
      </c>
      <c r="H253">
        <v>8195.76</v>
      </c>
      <c r="I253">
        <v>0</v>
      </c>
      <c r="J253" t="str">
        <f t="shared" si="15"/>
        <v>High</v>
      </c>
      <c r="K253" t="str">
        <f t="shared" si="16"/>
        <v>Normal</v>
      </c>
      <c r="L253">
        <f t="shared" si="17"/>
        <v>1</v>
      </c>
      <c r="M253">
        <f t="shared" si="18"/>
        <v>1</v>
      </c>
      <c r="N253" s="6">
        <f t="shared" si="19"/>
        <v>45689</v>
      </c>
    </row>
    <row r="254" spans="1:14" x14ac:dyDescent="0.3">
      <c r="A254">
        <v>765</v>
      </c>
      <c r="B254">
        <v>10099</v>
      </c>
      <c r="C254" t="s">
        <v>788</v>
      </c>
      <c r="D254" t="s">
        <v>15</v>
      </c>
      <c r="E254" t="s">
        <v>24</v>
      </c>
      <c r="F254" t="s">
        <v>17</v>
      </c>
      <c r="G254" t="s">
        <v>21</v>
      </c>
      <c r="H254">
        <v>82989.31</v>
      </c>
      <c r="I254">
        <v>0</v>
      </c>
      <c r="J254" t="str">
        <f t="shared" si="15"/>
        <v>High</v>
      </c>
      <c r="K254" t="str">
        <f t="shared" si="16"/>
        <v>Normal</v>
      </c>
      <c r="L254">
        <f t="shared" si="17"/>
        <v>1</v>
      </c>
      <c r="M254">
        <f t="shared" si="18"/>
        <v>1</v>
      </c>
      <c r="N254" s="6">
        <f t="shared" si="19"/>
        <v>45689</v>
      </c>
    </row>
    <row r="255" spans="1:14" x14ac:dyDescent="0.3">
      <c r="A255">
        <v>766</v>
      </c>
      <c r="B255">
        <v>10063</v>
      </c>
      <c r="C255" t="s">
        <v>789</v>
      </c>
      <c r="D255" t="s">
        <v>20</v>
      </c>
      <c r="E255" t="s">
        <v>16</v>
      </c>
      <c r="F255" t="s">
        <v>17</v>
      </c>
      <c r="G255" t="s">
        <v>18</v>
      </c>
      <c r="H255">
        <v>97681.76</v>
      </c>
      <c r="I255">
        <v>0</v>
      </c>
      <c r="J255" t="str">
        <f t="shared" si="15"/>
        <v>High</v>
      </c>
      <c r="K255" t="str">
        <f t="shared" si="16"/>
        <v>Normal</v>
      </c>
      <c r="L255">
        <f t="shared" si="17"/>
        <v>1</v>
      </c>
      <c r="M255">
        <f t="shared" si="18"/>
        <v>1</v>
      </c>
      <c r="N255" s="6">
        <f t="shared" si="19"/>
        <v>45689</v>
      </c>
    </row>
    <row r="256" spans="1:14" x14ac:dyDescent="0.3">
      <c r="A256">
        <v>767</v>
      </c>
      <c r="B256">
        <v>10026</v>
      </c>
      <c r="C256" t="s">
        <v>790</v>
      </c>
      <c r="D256" t="s">
        <v>29</v>
      </c>
      <c r="E256" t="s">
        <v>16</v>
      </c>
      <c r="F256" t="s">
        <v>17</v>
      </c>
      <c r="G256" t="s">
        <v>18</v>
      </c>
      <c r="H256">
        <v>40532.03</v>
      </c>
      <c r="I256">
        <v>0</v>
      </c>
      <c r="J256" t="str">
        <f t="shared" si="15"/>
        <v>High</v>
      </c>
      <c r="K256" t="str">
        <f t="shared" si="16"/>
        <v>Normal</v>
      </c>
      <c r="L256">
        <f t="shared" si="17"/>
        <v>1</v>
      </c>
      <c r="M256">
        <f t="shared" si="18"/>
        <v>1</v>
      </c>
      <c r="N256" s="6">
        <f t="shared" si="19"/>
        <v>45689</v>
      </c>
    </row>
    <row r="257" spans="1:14" x14ac:dyDescent="0.3">
      <c r="A257">
        <v>768</v>
      </c>
      <c r="B257">
        <v>10062</v>
      </c>
      <c r="C257" t="s">
        <v>791</v>
      </c>
      <c r="D257" t="s">
        <v>29</v>
      </c>
      <c r="E257" t="s">
        <v>11</v>
      </c>
      <c r="F257" t="s">
        <v>12</v>
      </c>
      <c r="G257" t="s">
        <v>18</v>
      </c>
      <c r="H257">
        <v>8856.2199999999993</v>
      </c>
      <c r="I257">
        <v>0</v>
      </c>
      <c r="J257" t="str">
        <f t="shared" si="15"/>
        <v>High</v>
      </c>
      <c r="K257" t="str">
        <f t="shared" si="16"/>
        <v>Normal</v>
      </c>
      <c r="L257">
        <f t="shared" si="17"/>
        <v>1</v>
      </c>
      <c r="M257">
        <f t="shared" si="18"/>
        <v>1</v>
      </c>
      <c r="N257" s="6">
        <f t="shared" si="19"/>
        <v>45689</v>
      </c>
    </row>
    <row r="258" spans="1:14" x14ac:dyDescent="0.3">
      <c r="A258">
        <v>721</v>
      </c>
      <c r="B258">
        <v>10044</v>
      </c>
      <c r="C258" t="s">
        <v>744</v>
      </c>
      <c r="D258" t="s">
        <v>29</v>
      </c>
      <c r="E258" t="s">
        <v>16</v>
      </c>
      <c r="F258" t="s">
        <v>12</v>
      </c>
      <c r="G258" t="s">
        <v>31</v>
      </c>
      <c r="H258">
        <v>61487.13</v>
      </c>
      <c r="I258">
        <v>0</v>
      </c>
      <c r="J258" t="str">
        <f t="shared" ref="J258:J321" si="20">IF(E258&gt;50000,"High","Normal")</f>
        <v>High</v>
      </c>
      <c r="K258" t="str">
        <f t="shared" ref="K258:K321" si="21">IF(AND(H258&gt;50000,E258="Online"),"High Risk","Normal")</f>
        <v>Normal</v>
      </c>
      <c r="L258">
        <f t="shared" ref="L258:L321" si="22">COUNTIFS(C:C,C258,B:B,B258)</f>
        <v>1</v>
      </c>
      <c r="M258">
        <f t="shared" ref="M258:M321" si="23">IF(E258&gt;50000,1,0) + IF(H258="Unusual",1,0) + IF(I258&gt;3,1,0)</f>
        <v>1</v>
      </c>
      <c r="N258" s="6">
        <f t="shared" ref="N258:N321" si="24">INT(C258)</f>
        <v>45688</v>
      </c>
    </row>
    <row r="259" spans="1:14" x14ac:dyDescent="0.3">
      <c r="A259">
        <v>722</v>
      </c>
      <c r="B259">
        <v>10060</v>
      </c>
      <c r="C259" t="s">
        <v>745</v>
      </c>
      <c r="D259" t="s">
        <v>29</v>
      </c>
      <c r="E259" t="s">
        <v>24</v>
      </c>
      <c r="F259" t="s">
        <v>12</v>
      </c>
      <c r="G259" t="s">
        <v>18</v>
      </c>
      <c r="H259">
        <v>58161.42</v>
      </c>
      <c r="I259">
        <v>0</v>
      </c>
      <c r="J259" t="str">
        <f t="shared" si="20"/>
        <v>High</v>
      </c>
      <c r="K259" t="str">
        <f t="shared" si="21"/>
        <v>Normal</v>
      </c>
      <c r="L259">
        <f t="shared" si="22"/>
        <v>1</v>
      </c>
      <c r="M259">
        <f t="shared" si="23"/>
        <v>1</v>
      </c>
      <c r="N259" s="6">
        <f t="shared" si="24"/>
        <v>45688</v>
      </c>
    </row>
    <row r="260" spans="1:14" x14ac:dyDescent="0.3">
      <c r="A260">
        <v>723</v>
      </c>
      <c r="B260">
        <v>10046</v>
      </c>
      <c r="C260" t="s">
        <v>746</v>
      </c>
      <c r="D260" t="s">
        <v>29</v>
      </c>
      <c r="E260" t="s">
        <v>24</v>
      </c>
      <c r="F260" t="s">
        <v>12</v>
      </c>
      <c r="G260" t="s">
        <v>25</v>
      </c>
      <c r="H260">
        <v>25438.19</v>
      </c>
      <c r="I260">
        <v>0</v>
      </c>
      <c r="J260" t="str">
        <f t="shared" si="20"/>
        <v>High</v>
      </c>
      <c r="K260" t="str">
        <f t="shared" si="21"/>
        <v>Normal</v>
      </c>
      <c r="L260">
        <f t="shared" si="22"/>
        <v>1</v>
      </c>
      <c r="M260">
        <f t="shared" si="23"/>
        <v>1</v>
      </c>
      <c r="N260" s="6">
        <f t="shared" si="24"/>
        <v>45688</v>
      </c>
    </row>
    <row r="261" spans="1:14" x14ac:dyDescent="0.3">
      <c r="A261">
        <v>724</v>
      </c>
      <c r="B261">
        <v>10020</v>
      </c>
      <c r="C261" t="s">
        <v>747</v>
      </c>
      <c r="D261" t="s">
        <v>23</v>
      </c>
      <c r="E261" t="s">
        <v>24</v>
      </c>
      <c r="F261" t="s">
        <v>12</v>
      </c>
      <c r="G261" t="s">
        <v>13</v>
      </c>
      <c r="H261">
        <v>75657.789999999994</v>
      </c>
      <c r="I261">
        <v>0</v>
      </c>
      <c r="J261" t="str">
        <f t="shared" si="20"/>
        <v>High</v>
      </c>
      <c r="K261" t="str">
        <f t="shared" si="21"/>
        <v>Normal</v>
      </c>
      <c r="L261">
        <f t="shared" si="22"/>
        <v>1</v>
      </c>
      <c r="M261">
        <f t="shared" si="23"/>
        <v>1</v>
      </c>
      <c r="N261" s="6">
        <f t="shared" si="24"/>
        <v>45688</v>
      </c>
    </row>
    <row r="262" spans="1:14" x14ac:dyDescent="0.3">
      <c r="A262">
        <v>725</v>
      </c>
      <c r="B262">
        <v>10079</v>
      </c>
      <c r="C262" t="s">
        <v>748</v>
      </c>
      <c r="D262" t="s">
        <v>20</v>
      </c>
      <c r="E262" t="s">
        <v>24</v>
      </c>
      <c r="F262" t="s">
        <v>12</v>
      </c>
      <c r="G262" t="s">
        <v>18</v>
      </c>
      <c r="H262">
        <v>8258.56</v>
      </c>
      <c r="I262">
        <v>0</v>
      </c>
      <c r="J262" t="str">
        <f t="shared" si="20"/>
        <v>High</v>
      </c>
      <c r="K262" t="str">
        <f t="shared" si="21"/>
        <v>Normal</v>
      </c>
      <c r="L262">
        <f t="shared" si="22"/>
        <v>1</v>
      </c>
      <c r="M262">
        <f t="shared" si="23"/>
        <v>1</v>
      </c>
      <c r="N262" s="6">
        <f t="shared" si="24"/>
        <v>45688</v>
      </c>
    </row>
    <row r="263" spans="1:14" x14ac:dyDescent="0.3">
      <c r="A263">
        <v>726</v>
      </c>
      <c r="B263">
        <v>10084</v>
      </c>
      <c r="C263" t="s">
        <v>749</v>
      </c>
      <c r="D263" t="s">
        <v>23</v>
      </c>
      <c r="E263" t="s">
        <v>16</v>
      </c>
      <c r="F263" t="s">
        <v>17</v>
      </c>
      <c r="G263" t="s">
        <v>31</v>
      </c>
      <c r="H263">
        <v>92436.28</v>
      </c>
      <c r="I263">
        <v>0</v>
      </c>
      <c r="J263" t="str">
        <f t="shared" si="20"/>
        <v>High</v>
      </c>
      <c r="K263" t="str">
        <f t="shared" si="21"/>
        <v>Normal</v>
      </c>
      <c r="L263">
        <f t="shared" si="22"/>
        <v>1</v>
      </c>
      <c r="M263">
        <f t="shared" si="23"/>
        <v>1</v>
      </c>
      <c r="N263" s="6">
        <f t="shared" si="24"/>
        <v>45688</v>
      </c>
    </row>
    <row r="264" spans="1:14" x14ac:dyDescent="0.3">
      <c r="A264">
        <v>727</v>
      </c>
      <c r="B264">
        <v>10074</v>
      </c>
      <c r="C264" t="s">
        <v>750</v>
      </c>
      <c r="D264" t="s">
        <v>15</v>
      </c>
      <c r="E264" t="s">
        <v>16</v>
      </c>
      <c r="F264" t="s">
        <v>17</v>
      </c>
      <c r="G264" t="s">
        <v>13</v>
      </c>
      <c r="H264">
        <v>32649.759999999998</v>
      </c>
      <c r="I264">
        <v>0</v>
      </c>
      <c r="J264" t="str">
        <f t="shared" si="20"/>
        <v>High</v>
      </c>
      <c r="K264" t="str">
        <f t="shared" si="21"/>
        <v>Normal</v>
      </c>
      <c r="L264">
        <f t="shared" si="22"/>
        <v>1</v>
      </c>
      <c r="M264">
        <f t="shared" si="23"/>
        <v>1</v>
      </c>
      <c r="N264" s="6">
        <f t="shared" si="24"/>
        <v>45688</v>
      </c>
    </row>
    <row r="265" spans="1:14" x14ac:dyDescent="0.3">
      <c r="A265">
        <v>728</v>
      </c>
      <c r="B265">
        <v>10035</v>
      </c>
      <c r="C265" t="s">
        <v>751</v>
      </c>
      <c r="D265" t="s">
        <v>29</v>
      </c>
      <c r="E265" t="s">
        <v>16</v>
      </c>
      <c r="F265" t="s">
        <v>12</v>
      </c>
      <c r="G265" t="s">
        <v>13</v>
      </c>
      <c r="H265">
        <v>12864.69</v>
      </c>
      <c r="I265">
        <v>0</v>
      </c>
      <c r="J265" t="str">
        <f t="shared" si="20"/>
        <v>High</v>
      </c>
      <c r="K265" t="str">
        <f t="shared" si="21"/>
        <v>Normal</v>
      </c>
      <c r="L265">
        <f t="shared" si="22"/>
        <v>1</v>
      </c>
      <c r="M265">
        <f t="shared" si="23"/>
        <v>1</v>
      </c>
      <c r="N265" s="6">
        <f t="shared" si="24"/>
        <v>45688</v>
      </c>
    </row>
    <row r="266" spans="1:14" x14ac:dyDescent="0.3">
      <c r="A266">
        <v>729</v>
      </c>
      <c r="B266">
        <v>10098</v>
      </c>
      <c r="C266" t="s">
        <v>752</v>
      </c>
      <c r="D266" t="s">
        <v>23</v>
      </c>
      <c r="E266" t="s">
        <v>11</v>
      </c>
      <c r="F266" t="s">
        <v>12</v>
      </c>
      <c r="G266" t="s">
        <v>31</v>
      </c>
      <c r="H266">
        <v>44292.42</v>
      </c>
      <c r="I266">
        <v>0</v>
      </c>
      <c r="J266" t="str">
        <f t="shared" si="20"/>
        <v>High</v>
      </c>
      <c r="K266" t="str">
        <f t="shared" si="21"/>
        <v>Normal</v>
      </c>
      <c r="L266">
        <f t="shared" si="22"/>
        <v>1</v>
      </c>
      <c r="M266">
        <f t="shared" si="23"/>
        <v>1</v>
      </c>
      <c r="N266" s="6">
        <f t="shared" si="24"/>
        <v>45688</v>
      </c>
    </row>
    <row r="267" spans="1:14" x14ac:dyDescent="0.3">
      <c r="A267">
        <v>730</v>
      </c>
      <c r="B267">
        <v>10018</v>
      </c>
      <c r="C267" t="s">
        <v>753</v>
      </c>
      <c r="D267" t="s">
        <v>23</v>
      </c>
      <c r="E267" t="s">
        <v>16</v>
      </c>
      <c r="F267" t="s">
        <v>12</v>
      </c>
      <c r="G267" t="s">
        <v>18</v>
      </c>
      <c r="H267">
        <v>4342.74</v>
      </c>
      <c r="I267">
        <v>0</v>
      </c>
      <c r="J267" t="str">
        <f t="shared" si="20"/>
        <v>High</v>
      </c>
      <c r="K267" t="str">
        <f t="shared" si="21"/>
        <v>Normal</v>
      </c>
      <c r="L267">
        <f t="shared" si="22"/>
        <v>1</v>
      </c>
      <c r="M267">
        <f t="shared" si="23"/>
        <v>1</v>
      </c>
      <c r="N267" s="6">
        <f t="shared" si="24"/>
        <v>45688</v>
      </c>
    </row>
    <row r="268" spans="1:14" x14ac:dyDescent="0.3">
      <c r="A268">
        <v>731</v>
      </c>
      <c r="B268">
        <v>10019</v>
      </c>
      <c r="C268" t="s">
        <v>754</v>
      </c>
      <c r="D268" t="s">
        <v>15</v>
      </c>
      <c r="E268" t="s">
        <v>24</v>
      </c>
      <c r="F268" t="s">
        <v>17</v>
      </c>
      <c r="G268" t="s">
        <v>21</v>
      </c>
      <c r="H268">
        <v>68494.16</v>
      </c>
      <c r="I268">
        <v>0</v>
      </c>
      <c r="J268" t="str">
        <f t="shared" si="20"/>
        <v>High</v>
      </c>
      <c r="K268" t="str">
        <f t="shared" si="21"/>
        <v>Normal</v>
      </c>
      <c r="L268">
        <f t="shared" si="22"/>
        <v>1</v>
      </c>
      <c r="M268">
        <f t="shared" si="23"/>
        <v>1</v>
      </c>
      <c r="N268" s="6">
        <f t="shared" si="24"/>
        <v>45688</v>
      </c>
    </row>
    <row r="269" spans="1:14" x14ac:dyDescent="0.3">
      <c r="A269">
        <v>732</v>
      </c>
      <c r="B269">
        <v>10056</v>
      </c>
      <c r="C269" t="s">
        <v>755</v>
      </c>
      <c r="D269" t="s">
        <v>10</v>
      </c>
      <c r="E269" t="s">
        <v>16</v>
      </c>
      <c r="F269" t="s">
        <v>17</v>
      </c>
      <c r="G269" t="s">
        <v>31</v>
      </c>
      <c r="H269">
        <v>90280.28</v>
      </c>
      <c r="I269">
        <v>0</v>
      </c>
      <c r="J269" t="str">
        <f t="shared" si="20"/>
        <v>High</v>
      </c>
      <c r="K269" t="str">
        <f t="shared" si="21"/>
        <v>Normal</v>
      </c>
      <c r="L269">
        <f t="shared" si="22"/>
        <v>1</v>
      </c>
      <c r="M269">
        <f t="shared" si="23"/>
        <v>1</v>
      </c>
      <c r="N269" s="6">
        <f t="shared" si="24"/>
        <v>45688</v>
      </c>
    </row>
    <row r="270" spans="1:14" x14ac:dyDescent="0.3">
      <c r="A270">
        <v>733</v>
      </c>
      <c r="B270">
        <v>10017</v>
      </c>
      <c r="C270" t="s">
        <v>756</v>
      </c>
      <c r="D270" t="s">
        <v>20</v>
      </c>
      <c r="E270" t="s">
        <v>24</v>
      </c>
      <c r="F270" t="s">
        <v>12</v>
      </c>
      <c r="G270" t="s">
        <v>31</v>
      </c>
      <c r="H270">
        <v>83742.570000000007</v>
      </c>
      <c r="I270">
        <v>0</v>
      </c>
      <c r="J270" t="str">
        <f t="shared" si="20"/>
        <v>High</v>
      </c>
      <c r="K270" t="str">
        <f t="shared" si="21"/>
        <v>Normal</v>
      </c>
      <c r="L270">
        <f t="shared" si="22"/>
        <v>1</v>
      </c>
      <c r="M270">
        <f t="shared" si="23"/>
        <v>1</v>
      </c>
      <c r="N270" s="6">
        <f t="shared" si="24"/>
        <v>45688</v>
      </c>
    </row>
    <row r="271" spans="1:14" x14ac:dyDescent="0.3">
      <c r="A271">
        <v>734</v>
      </c>
      <c r="B271">
        <v>10046</v>
      </c>
      <c r="C271" t="s">
        <v>757</v>
      </c>
      <c r="D271" t="s">
        <v>10</v>
      </c>
      <c r="E271" t="s">
        <v>11</v>
      </c>
      <c r="F271" t="s">
        <v>12</v>
      </c>
      <c r="G271" t="s">
        <v>31</v>
      </c>
      <c r="H271">
        <v>12824.21</v>
      </c>
      <c r="I271">
        <v>0</v>
      </c>
      <c r="J271" t="str">
        <f t="shared" si="20"/>
        <v>High</v>
      </c>
      <c r="K271" t="str">
        <f t="shared" si="21"/>
        <v>Normal</v>
      </c>
      <c r="L271">
        <f t="shared" si="22"/>
        <v>1</v>
      </c>
      <c r="M271">
        <f t="shared" si="23"/>
        <v>1</v>
      </c>
      <c r="N271" s="6">
        <f t="shared" si="24"/>
        <v>45688</v>
      </c>
    </row>
    <row r="272" spans="1:14" x14ac:dyDescent="0.3">
      <c r="A272">
        <v>735</v>
      </c>
      <c r="B272">
        <v>10048</v>
      </c>
      <c r="C272" t="s">
        <v>758</v>
      </c>
      <c r="D272" t="s">
        <v>29</v>
      </c>
      <c r="E272" t="s">
        <v>24</v>
      </c>
      <c r="F272" t="s">
        <v>17</v>
      </c>
      <c r="G272" t="s">
        <v>13</v>
      </c>
      <c r="H272">
        <v>12714.49</v>
      </c>
      <c r="I272">
        <v>0</v>
      </c>
      <c r="J272" t="str">
        <f t="shared" si="20"/>
        <v>High</v>
      </c>
      <c r="K272" t="str">
        <f t="shared" si="21"/>
        <v>Normal</v>
      </c>
      <c r="L272">
        <f t="shared" si="22"/>
        <v>1</v>
      </c>
      <c r="M272">
        <f t="shared" si="23"/>
        <v>1</v>
      </c>
      <c r="N272" s="6">
        <f t="shared" si="24"/>
        <v>45688</v>
      </c>
    </row>
    <row r="273" spans="1:14" x14ac:dyDescent="0.3">
      <c r="A273">
        <v>736</v>
      </c>
      <c r="B273">
        <v>10013</v>
      </c>
      <c r="C273" t="s">
        <v>759</v>
      </c>
      <c r="D273" t="s">
        <v>23</v>
      </c>
      <c r="E273" t="s">
        <v>24</v>
      </c>
      <c r="F273" t="s">
        <v>17</v>
      </c>
      <c r="G273" t="s">
        <v>25</v>
      </c>
      <c r="H273">
        <v>81362.100000000006</v>
      </c>
      <c r="I273">
        <v>0</v>
      </c>
      <c r="J273" t="str">
        <f t="shared" si="20"/>
        <v>High</v>
      </c>
      <c r="K273" t="str">
        <f t="shared" si="21"/>
        <v>Normal</v>
      </c>
      <c r="L273">
        <f t="shared" si="22"/>
        <v>1</v>
      </c>
      <c r="M273">
        <f t="shared" si="23"/>
        <v>1</v>
      </c>
      <c r="N273" s="6">
        <f t="shared" si="24"/>
        <v>45688</v>
      </c>
    </row>
    <row r="274" spans="1:14" x14ac:dyDescent="0.3">
      <c r="A274">
        <v>737</v>
      </c>
      <c r="B274">
        <v>10014</v>
      </c>
      <c r="C274" t="s">
        <v>760</v>
      </c>
      <c r="D274" t="s">
        <v>15</v>
      </c>
      <c r="E274" t="s">
        <v>24</v>
      </c>
      <c r="F274" t="s">
        <v>17</v>
      </c>
      <c r="G274" t="s">
        <v>21</v>
      </c>
      <c r="H274">
        <v>92433</v>
      </c>
      <c r="I274">
        <v>0</v>
      </c>
      <c r="J274" t="str">
        <f t="shared" si="20"/>
        <v>High</v>
      </c>
      <c r="K274" t="str">
        <f t="shared" si="21"/>
        <v>Normal</v>
      </c>
      <c r="L274">
        <f t="shared" si="22"/>
        <v>1</v>
      </c>
      <c r="M274">
        <f t="shared" si="23"/>
        <v>1</v>
      </c>
      <c r="N274" s="6">
        <f t="shared" si="24"/>
        <v>45688</v>
      </c>
    </row>
    <row r="275" spans="1:14" x14ac:dyDescent="0.3">
      <c r="A275">
        <v>738</v>
      </c>
      <c r="B275">
        <v>10030</v>
      </c>
      <c r="C275" t="s">
        <v>761</v>
      </c>
      <c r="D275" t="s">
        <v>15</v>
      </c>
      <c r="E275" t="s">
        <v>11</v>
      </c>
      <c r="F275" t="s">
        <v>17</v>
      </c>
      <c r="G275" t="s">
        <v>18</v>
      </c>
      <c r="H275">
        <v>46120.92</v>
      </c>
      <c r="I275">
        <v>0</v>
      </c>
      <c r="J275" t="str">
        <f t="shared" si="20"/>
        <v>High</v>
      </c>
      <c r="K275" t="str">
        <f t="shared" si="21"/>
        <v>Normal</v>
      </c>
      <c r="L275">
        <f t="shared" si="22"/>
        <v>1</v>
      </c>
      <c r="M275">
        <f t="shared" si="23"/>
        <v>1</v>
      </c>
      <c r="N275" s="6">
        <f t="shared" si="24"/>
        <v>45688</v>
      </c>
    </row>
    <row r="276" spans="1:14" x14ac:dyDescent="0.3">
      <c r="A276">
        <v>739</v>
      </c>
      <c r="B276">
        <v>10000</v>
      </c>
      <c r="C276" t="s">
        <v>762</v>
      </c>
      <c r="D276" t="s">
        <v>20</v>
      </c>
      <c r="E276" t="s">
        <v>16</v>
      </c>
      <c r="F276" t="s">
        <v>12</v>
      </c>
      <c r="G276" t="s">
        <v>18</v>
      </c>
      <c r="H276">
        <v>49947.21</v>
      </c>
      <c r="I276">
        <v>0</v>
      </c>
      <c r="J276" t="str">
        <f t="shared" si="20"/>
        <v>High</v>
      </c>
      <c r="K276" t="str">
        <f t="shared" si="21"/>
        <v>Normal</v>
      </c>
      <c r="L276">
        <f t="shared" si="22"/>
        <v>1</v>
      </c>
      <c r="M276">
        <f t="shared" si="23"/>
        <v>1</v>
      </c>
      <c r="N276" s="6">
        <f t="shared" si="24"/>
        <v>45688</v>
      </c>
    </row>
    <row r="277" spans="1:14" x14ac:dyDescent="0.3">
      <c r="A277">
        <v>740</v>
      </c>
      <c r="B277">
        <v>10053</v>
      </c>
      <c r="C277" t="s">
        <v>763</v>
      </c>
      <c r="D277" t="s">
        <v>10</v>
      </c>
      <c r="E277" t="s">
        <v>16</v>
      </c>
      <c r="F277" t="s">
        <v>17</v>
      </c>
      <c r="G277" t="s">
        <v>25</v>
      </c>
      <c r="H277">
        <v>31894.38</v>
      </c>
      <c r="I277">
        <v>0</v>
      </c>
      <c r="J277" t="str">
        <f t="shared" si="20"/>
        <v>High</v>
      </c>
      <c r="K277" t="str">
        <f t="shared" si="21"/>
        <v>Normal</v>
      </c>
      <c r="L277">
        <f t="shared" si="22"/>
        <v>1</v>
      </c>
      <c r="M277">
        <f t="shared" si="23"/>
        <v>1</v>
      </c>
      <c r="N277" s="6">
        <f t="shared" si="24"/>
        <v>45688</v>
      </c>
    </row>
    <row r="278" spans="1:14" x14ac:dyDescent="0.3">
      <c r="A278">
        <v>741</v>
      </c>
      <c r="B278">
        <v>10002</v>
      </c>
      <c r="C278" t="s">
        <v>764</v>
      </c>
      <c r="D278" t="s">
        <v>20</v>
      </c>
      <c r="E278" t="s">
        <v>11</v>
      </c>
      <c r="F278" t="s">
        <v>17</v>
      </c>
      <c r="G278" t="s">
        <v>31</v>
      </c>
      <c r="H278">
        <v>89437.09</v>
      </c>
      <c r="I278">
        <v>1</v>
      </c>
      <c r="J278" t="str">
        <f t="shared" si="20"/>
        <v>High</v>
      </c>
      <c r="K278" t="str">
        <f t="shared" si="21"/>
        <v>High Risk</v>
      </c>
      <c r="L278">
        <f t="shared" si="22"/>
        <v>1</v>
      </c>
      <c r="M278">
        <f t="shared" si="23"/>
        <v>1</v>
      </c>
      <c r="N278" s="6">
        <f t="shared" si="24"/>
        <v>45688</v>
      </c>
    </row>
    <row r="279" spans="1:14" x14ac:dyDescent="0.3">
      <c r="A279">
        <v>742</v>
      </c>
      <c r="B279">
        <v>10015</v>
      </c>
      <c r="C279" t="s">
        <v>765</v>
      </c>
      <c r="D279" t="s">
        <v>23</v>
      </c>
      <c r="E279" t="s">
        <v>24</v>
      </c>
      <c r="F279" t="s">
        <v>12</v>
      </c>
      <c r="G279" t="s">
        <v>21</v>
      </c>
      <c r="H279">
        <v>64525.8</v>
      </c>
      <c r="I279">
        <v>0</v>
      </c>
      <c r="J279" t="str">
        <f t="shared" si="20"/>
        <v>High</v>
      </c>
      <c r="K279" t="str">
        <f t="shared" si="21"/>
        <v>Normal</v>
      </c>
      <c r="L279">
        <f t="shared" si="22"/>
        <v>1</v>
      </c>
      <c r="M279">
        <f t="shared" si="23"/>
        <v>1</v>
      </c>
      <c r="N279" s="6">
        <f t="shared" si="24"/>
        <v>45688</v>
      </c>
    </row>
    <row r="280" spans="1:14" x14ac:dyDescent="0.3">
      <c r="A280">
        <v>743</v>
      </c>
      <c r="B280">
        <v>10086</v>
      </c>
      <c r="C280" t="s">
        <v>766</v>
      </c>
      <c r="D280" t="s">
        <v>20</v>
      </c>
      <c r="E280" t="s">
        <v>16</v>
      </c>
      <c r="F280" t="s">
        <v>17</v>
      </c>
      <c r="G280" t="s">
        <v>18</v>
      </c>
      <c r="H280">
        <v>28896.33</v>
      </c>
      <c r="I280">
        <v>0</v>
      </c>
      <c r="J280" t="str">
        <f t="shared" si="20"/>
        <v>High</v>
      </c>
      <c r="K280" t="str">
        <f t="shared" si="21"/>
        <v>Normal</v>
      </c>
      <c r="L280">
        <f t="shared" si="22"/>
        <v>1</v>
      </c>
      <c r="M280">
        <f t="shared" si="23"/>
        <v>1</v>
      </c>
      <c r="N280" s="6">
        <f t="shared" si="24"/>
        <v>45688</v>
      </c>
    </row>
    <row r="281" spans="1:14" x14ac:dyDescent="0.3">
      <c r="A281">
        <v>744</v>
      </c>
      <c r="B281">
        <v>10056</v>
      </c>
      <c r="C281" t="s">
        <v>767</v>
      </c>
      <c r="D281" t="s">
        <v>15</v>
      </c>
      <c r="E281" t="s">
        <v>11</v>
      </c>
      <c r="F281" t="s">
        <v>17</v>
      </c>
      <c r="G281" t="s">
        <v>18</v>
      </c>
      <c r="H281">
        <v>29948.41</v>
      </c>
      <c r="I281">
        <v>0</v>
      </c>
      <c r="J281" t="str">
        <f t="shared" si="20"/>
        <v>High</v>
      </c>
      <c r="K281" t="str">
        <f t="shared" si="21"/>
        <v>Normal</v>
      </c>
      <c r="L281">
        <f t="shared" si="22"/>
        <v>1</v>
      </c>
      <c r="M281">
        <f t="shared" si="23"/>
        <v>1</v>
      </c>
      <c r="N281" s="6">
        <f t="shared" si="24"/>
        <v>45688</v>
      </c>
    </row>
    <row r="282" spans="1:14" x14ac:dyDescent="0.3">
      <c r="A282">
        <v>697</v>
      </c>
      <c r="B282">
        <v>10044</v>
      </c>
      <c r="C282" t="s">
        <v>720</v>
      </c>
      <c r="D282" t="s">
        <v>23</v>
      </c>
      <c r="E282" t="s">
        <v>11</v>
      </c>
      <c r="F282" t="s">
        <v>12</v>
      </c>
      <c r="G282" t="s">
        <v>13</v>
      </c>
      <c r="H282">
        <v>72453.03</v>
      </c>
      <c r="I282">
        <v>1</v>
      </c>
      <c r="J282" t="str">
        <f t="shared" si="20"/>
        <v>High</v>
      </c>
      <c r="K282" t="str">
        <f t="shared" si="21"/>
        <v>High Risk</v>
      </c>
      <c r="L282">
        <f t="shared" si="22"/>
        <v>1</v>
      </c>
      <c r="M282">
        <f t="shared" si="23"/>
        <v>1</v>
      </c>
      <c r="N282" s="6">
        <f t="shared" si="24"/>
        <v>45687</v>
      </c>
    </row>
    <row r="283" spans="1:14" x14ac:dyDescent="0.3">
      <c r="A283">
        <v>698</v>
      </c>
      <c r="B283">
        <v>10012</v>
      </c>
      <c r="C283" t="s">
        <v>721</v>
      </c>
      <c r="D283" t="s">
        <v>23</v>
      </c>
      <c r="E283" t="s">
        <v>24</v>
      </c>
      <c r="F283" t="s">
        <v>17</v>
      </c>
      <c r="G283" t="s">
        <v>18</v>
      </c>
      <c r="H283">
        <v>49310.64</v>
      </c>
      <c r="I283">
        <v>0</v>
      </c>
      <c r="J283" t="str">
        <f t="shared" si="20"/>
        <v>High</v>
      </c>
      <c r="K283" t="str">
        <f t="shared" si="21"/>
        <v>Normal</v>
      </c>
      <c r="L283">
        <f t="shared" si="22"/>
        <v>1</v>
      </c>
      <c r="M283">
        <f t="shared" si="23"/>
        <v>1</v>
      </c>
      <c r="N283" s="6">
        <f t="shared" si="24"/>
        <v>45687</v>
      </c>
    </row>
    <row r="284" spans="1:14" x14ac:dyDescent="0.3">
      <c r="A284">
        <v>699</v>
      </c>
      <c r="B284">
        <v>10091</v>
      </c>
      <c r="C284" t="s">
        <v>722</v>
      </c>
      <c r="D284" t="s">
        <v>10</v>
      </c>
      <c r="E284" t="s">
        <v>24</v>
      </c>
      <c r="F284" t="s">
        <v>17</v>
      </c>
      <c r="G284" t="s">
        <v>31</v>
      </c>
      <c r="H284">
        <v>63377.83</v>
      </c>
      <c r="I284">
        <v>0</v>
      </c>
      <c r="J284" t="str">
        <f t="shared" si="20"/>
        <v>High</v>
      </c>
      <c r="K284" t="str">
        <f t="shared" si="21"/>
        <v>Normal</v>
      </c>
      <c r="L284">
        <f t="shared" si="22"/>
        <v>1</v>
      </c>
      <c r="M284">
        <f t="shared" si="23"/>
        <v>1</v>
      </c>
      <c r="N284" s="6">
        <f t="shared" si="24"/>
        <v>45687</v>
      </c>
    </row>
    <row r="285" spans="1:14" x14ac:dyDescent="0.3">
      <c r="A285">
        <v>700</v>
      </c>
      <c r="B285">
        <v>10057</v>
      </c>
      <c r="C285" t="s">
        <v>723</v>
      </c>
      <c r="D285" t="s">
        <v>10</v>
      </c>
      <c r="E285" t="s">
        <v>16</v>
      </c>
      <c r="F285" t="s">
        <v>12</v>
      </c>
      <c r="G285" t="s">
        <v>25</v>
      </c>
      <c r="H285">
        <v>80572.039999999994</v>
      </c>
      <c r="I285">
        <v>0</v>
      </c>
      <c r="J285" t="str">
        <f t="shared" si="20"/>
        <v>High</v>
      </c>
      <c r="K285" t="str">
        <f t="shared" si="21"/>
        <v>Normal</v>
      </c>
      <c r="L285">
        <f t="shared" si="22"/>
        <v>1</v>
      </c>
      <c r="M285">
        <f t="shared" si="23"/>
        <v>1</v>
      </c>
      <c r="N285" s="6">
        <f t="shared" si="24"/>
        <v>45687</v>
      </c>
    </row>
    <row r="286" spans="1:14" x14ac:dyDescent="0.3">
      <c r="A286">
        <v>701</v>
      </c>
      <c r="B286">
        <v>10019</v>
      </c>
      <c r="C286" t="s">
        <v>724</v>
      </c>
      <c r="D286" t="s">
        <v>10</v>
      </c>
      <c r="E286" t="s">
        <v>24</v>
      </c>
      <c r="F286" t="s">
        <v>12</v>
      </c>
      <c r="G286" t="s">
        <v>25</v>
      </c>
      <c r="H286">
        <v>39848.629999999997</v>
      </c>
      <c r="I286">
        <v>0</v>
      </c>
      <c r="J286" t="str">
        <f t="shared" si="20"/>
        <v>High</v>
      </c>
      <c r="K286" t="str">
        <f t="shared" si="21"/>
        <v>Normal</v>
      </c>
      <c r="L286">
        <f t="shared" si="22"/>
        <v>1</v>
      </c>
      <c r="M286">
        <f t="shared" si="23"/>
        <v>1</v>
      </c>
      <c r="N286" s="6">
        <f t="shared" si="24"/>
        <v>45687</v>
      </c>
    </row>
    <row r="287" spans="1:14" x14ac:dyDescent="0.3">
      <c r="A287">
        <v>702</v>
      </c>
      <c r="B287">
        <v>10091</v>
      </c>
      <c r="C287" t="s">
        <v>725</v>
      </c>
      <c r="D287" t="s">
        <v>10</v>
      </c>
      <c r="E287" t="s">
        <v>11</v>
      </c>
      <c r="F287" t="s">
        <v>17</v>
      </c>
      <c r="G287" t="s">
        <v>13</v>
      </c>
      <c r="H287">
        <v>80617.289999999994</v>
      </c>
      <c r="I287">
        <v>1</v>
      </c>
      <c r="J287" t="str">
        <f t="shared" si="20"/>
        <v>High</v>
      </c>
      <c r="K287" t="str">
        <f t="shared" si="21"/>
        <v>High Risk</v>
      </c>
      <c r="L287">
        <f t="shared" si="22"/>
        <v>1</v>
      </c>
      <c r="M287">
        <f t="shared" si="23"/>
        <v>1</v>
      </c>
      <c r="N287" s="6">
        <f t="shared" si="24"/>
        <v>45687</v>
      </c>
    </row>
    <row r="288" spans="1:14" x14ac:dyDescent="0.3">
      <c r="A288">
        <v>703</v>
      </c>
      <c r="B288">
        <v>10071</v>
      </c>
      <c r="C288" t="s">
        <v>726</v>
      </c>
      <c r="D288" t="s">
        <v>29</v>
      </c>
      <c r="E288" t="s">
        <v>24</v>
      </c>
      <c r="F288" t="s">
        <v>12</v>
      </c>
      <c r="G288" t="s">
        <v>25</v>
      </c>
      <c r="H288">
        <v>59242.48</v>
      </c>
      <c r="I288">
        <v>0</v>
      </c>
      <c r="J288" t="str">
        <f t="shared" si="20"/>
        <v>High</v>
      </c>
      <c r="K288" t="str">
        <f t="shared" si="21"/>
        <v>Normal</v>
      </c>
      <c r="L288">
        <f t="shared" si="22"/>
        <v>1</v>
      </c>
      <c r="M288">
        <f t="shared" si="23"/>
        <v>1</v>
      </c>
      <c r="N288" s="6">
        <f t="shared" si="24"/>
        <v>45687</v>
      </c>
    </row>
    <row r="289" spans="1:14" x14ac:dyDescent="0.3">
      <c r="A289">
        <v>704</v>
      </c>
      <c r="B289">
        <v>10060</v>
      </c>
      <c r="C289" t="s">
        <v>727</v>
      </c>
      <c r="D289" t="s">
        <v>20</v>
      </c>
      <c r="E289" t="s">
        <v>11</v>
      </c>
      <c r="F289" t="s">
        <v>17</v>
      </c>
      <c r="G289" t="s">
        <v>21</v>
      </c>
      <c r="H289">
        <v>16673.509999999998</v>
      </c>
      <c r="I289">
        <v>0</v>
      </c>
      <c r="J289" t="str">
        <f t="shared" si="20"/>
        <v>High</v>
      </c>
      <c r="K289" t="str">
        <f t="shared" si="21"/>
        <v>Normal</v>
      </c>
      <c r="L289">
        <f t="shared" si="22"/>
        <v>1</v>
      </c>
      <c r="M289">
        <f t="shared" si="23"/>
        <v>1</v>
      </c>
      <c r="N289" s="6">
        <f t="shared" si="24"/>
        <v>45687</v>
      </c>
    </row>
    <row r="290" spans="1:14" x14ac:dyDescent="0.3">
      <c r="A290">
        <v>705</v>
      </c>
      <c r="B290">
        <v>10038</v>
      </c>
      <c r="C290" t="s">
        <v>728</v>
      </c>
      <c r="D290" t="s">
        <v>15</v>
      </c>
      <c r="E290" t="s">
        <v>24</v>
      </c>
      <c r="F290" t="s">
        <v>17</v>
      </c>
      <c r="G290" t="s">
        <v>18</v>
      </c>
      <c r="H290">
        <v>2565.9499999999998</v>
      </c>
      <c r="I290">
        <v>0</v>
      </c>
      <c r="J290" t="str">
        <f t="shared" si="20"/>
        <v>High</v>
      </c>
      <c r="K290" t="str">
        <f t="shared" si="21"/>
        <v>Normal</v>
      </c>
      <c r="L290">
        <f t="shared" si="22"/>
        <v>1</v>
      </c>
      <c r="M290">
        <f t="shared" si="23"/>
        <v>1</v>
      </c>
      <c r="N290" s="6">
        <f t="shared" si="24"/>
        <v>45687</v>
      </c>
    </row>
    <row r="291" spans="1:14" x14ac:dyDescent="0.3">
      <c r="A291">
        <v>706</v>
      </c>
      <c r="B291">
        <v>10000</v>
      </c>
      <c r="C291" t="s">
        <v>729</v>
      </c>
      <c r="D291" t="s">
        <v>23</v>
      </c>
      <c r="E291" t="s">
        <v>16</v>
      </c>
      <c r="F291" t="s">
        <v>12</v>
      </c>
      <c r="G291" t="s">
        <v>31</v>
      </c>
      <c r="H291">
        <v>36339.08</v>
      </c>
      <c r="I291">
        <v>0</v>
      </c>
      <c r="J291" t="str">
        <f t="shared" si="20"/>
        <v>High</v>
      </c>
      <c r="K291" t="str">
        <f t="shared" si="21"/>
        <v>Normal</v>
      </c>
      <c r="L291">
        <f t="shared" si="22"/>
        <v>1</v>
      </c>
      <c r="M291">
        <f t="shared" si="23"/>
        <v>1</v>
      </c>
      <c r="N291" s="6">
        <f t="shared" si="24"/>
        <v>45687</v>
      </c>
    </row>
    <row r="292" spans="1:14" x14ac:dyDescent="0.3">
      <c r="A292">
        <v>707</v>
      </c>
      <c r="B292">
        <v>10002</v>
      </c>
      <c r="C292" t="s">
        <v>730</v>
      </c>
      <c r="D292" t="s">
        <v>29</v>
      </c>
      <c r="E292" t="s">
        <v>11</v>
      </c>
      <c r="F292" t="s">
        <v>17</v>
      </c>
      <c r="G292" t="s">
        <v>18</v>
      </c>
      <c r="H292">
        <v>54714.96</v>
      </c>
      <c r="I292">
        <v>1</v>
      </c>
      <c r="J292" t="str">
        <f t="shared" si="20"/>
        <v>High</v>
      </c>
      <c r="K292" t="str">
        <f t="shared" si="21"/>
        <v>High Risk</v>
      </c>
      <c r="L292">
        <f t="shared" si="22"/>
        <v>1</v>
      </c>
      <c r="M292">
        <f t="shared" si="23"/>
        <v>1</v>
      </c>
      <c r="N292" s="6">
        <f t="shared" si="24"/>
        <v>45687</v>
      </c>
    </row>
    <row r="293" spans="1:14" x14ac:dyDescent="0.3">
      <c r="A293">
        <v>708</v>
      </c>
      <c r="B293">
        <v>10076</v>
      </c>
      <c r="C293" t="s">
        <v>731</v>
      </c>
      <c r="D293" t="s">
        <v>15</v>
      </c>
      <c r="E293" t="s">
        <v>24</v>
      </c>
      <c r="F293" t="s">
        <v>17</v>
      </c>
      <c r="G293" t="s">
        <v>13</v>
      </c>
      <c r="H293">
        <v>83998.05</v>
      </c>
      <c r="I293">
        <v>0</v>
      </c>
      <c r="J293" t="str">
        <f t="shared" si="20"/>
        <v>High</v>
      </c>
      <c r="K293" t="str">
        <f t="shared" si="21"/>
        <v>Normal</v>
      </c>
      <c r="L293">
        <f t="shared" si="22"/>
        <v>1</v>
      </c>
      <c r="M293">
        <f t="shared" si="23"/>
        <v>1</v>
      </c>
      <c r="N293" s="6">
        <f t="shared" si="24"/>
        <v>45687</v>
      </c>
    </row>
    <row r="294" spans="1:14" x14ac:dyDescent="0.3">
      <c r="A294">
        <v>709</v>
      </c>
      <c r="B294">
        <v>10091</v>
      </c>
      <c r="C294" t="s">
        <v>732</v>
      </c>
      <c r="D294" t="s">
        <v>29</v>
      </c>
      <c r="E294" t="s">
        <v>24</v>
      </c>
      <c r="F294" t="s">
        <v>12</v>
      </c>
      <c r="G294" t="s">
        <v>31</v>
      </c>
      <c r="H294">
        <v>12835.82</v>
      </c>
      <c r="I294">
        <v>0</v>
      </c>
      <c r="J294" t="str">
        <f t="shared" si="20"/>
        <v>High</v>
      </c>
      <c r="K294" t="str">
        <f t="shared" si="21"/>
        <v>Normal</v>
      </c>
      <c r="L294">
        <f t="shared" si="22"/>
        <v>1</v>
      </c>
      <c r="M294">
        <f t="shared" si="23"/>
        <v>1</v>
      </c>
      <c r="N294" s="6">
        <f t="shared" si="24"/>
        <v>45687</v>
      </c>
    </row>
    <row r="295" spans="1:14" x14ac:dyDescent="0.3">
      <c r="A295">
        <v>710</v>
      </c>
      <c r="B295">
        <v>10061</v>
      </c>
      <c r="C295" t="s">
        <v>733</v>
      </c>
      <c r="D295" t="s">
        <v>29</v>
      </c>
      <c r="E295" t="s">
        <v>24</v>
      </c>
      <c r="F295" t="s">
        <v>12</v>
      </c>
      <c r="G295" t="s">
        <v>31</v>
      </c>
      <c r="H295">
        <v>80040.61</v>
      </c>
      <c r="I295">
        <v>0</v>
      </c>
      <c r="J295" t="str">
        <f t="shared" si="20"/>
        <v>High</v>
      </c>
      <c r="K295" t="str">
        <f t="shared" si="21"/>
        <v>Normal</v>
      </c>
      <c r="L295">
        <f t="shared" si="22"/>
        <v>1</v>
      </c>
      <c r="M295">
        <f t="shared" si="23"/>
        <v>1</v>
      </c>
      <c r="N295" s="6">
        <f t="shared" si="24"/>
        <v>45687</v>
      </c>
    </row>
    <row r="296" spans="1:14" x14ac:dyDescent="0.3">
      <c r="A296">
        <v>711</v>
      </c>
      <c r="B296">
        <v>10062</v>
      </c>
      <c r="C296" t="s">
        <v>734</v>
      </c>
      <c r="D296" t="s">
        <v>23</v>
      </c>
      <c r="E296" t="s">
        <v>11</v>
      </c>
      <c r="F296" t="s">
        <v>17</v>
      </c>
      <c r="G296" t="s">
        <v>21</v>
      </c>
      <c r="H296">
        <v>86314.6</v>
      </c>
      <c r="I296">
        <v>1</v>
      </c>
      <c r="J296" t="str">
        <f t="shared" si="20"/>
        <v>High</v>
      </c>
      <c r="K296" t="str">
        <f t="shared" si="21"/>
        <v>High Risk</v>
      </c>
      <c r="L296">
        <f t="shared" si="22"/>
        <v>1</v>
      </c>
      <c r="M296">
        <f t="shared" si="23"/>
        <v>1</v>
      </c>
      <c r="N296" s="6">
        <f t="shared" si="24"/>
        <v>45687</v>
      </c>
    </row>
    <row r="297" spans="1:14" x14ac:dyDescent="0.3">
      <c r="A297">
        <v>712</v>
      </c>
      <c r="B297">
        <v>10024</v>
      </c>
      <c r="C297" t="s">
        <v>735</v>
      </c>
      <c r="D297" t="s">
        <v>20</v>
      </c>
      <c r="E297" t="s">
        <v>11</v>
      </c>
      <c r="F297" t="s">
        <v>12</v>
      </c>
      <c r="G297" t="s">
        <v>13</v>
      </c>
      <c r="H297">
        <v>15153.68</v>
      </c>
      <c r="I297">
        <v>0</v>
      </c>
      <c r="J297" t="str">
        <f t="shared" si="20"/>
        <v>High</v>
      </c>
      <c r="K297" t="str">
        <f t="shared" si="21"/>
        <v>Normal</v>
      </c>
      <c r="L297">
        <f t="shared" si="22"/>
        <v>1</v>
      </c>
      <c r="M297">
        <f t="shared" si="23"/>
        <v>1</v>
      </c>
      <c r="N297" s="6">
        <f t="shared" si="24"/>
        <v>45687</v>
      </c>
    </row>
    <row r="298" spans="1:14" x14ac:dyDescent="0.3">
      <c r="A298">
        <v>713</v>
      </c>
      <c r="B298">
        <v>10055</v>
      </c>
      <c r="C298" t="s">
        <v>736</v>
      </c>
      <c r="D298" t="s">
        <v>10</v>
      </c>
      <c r="E298" t="s">
        <v>11</v>
      </c>
      <c r="F298" t="s">
        <v>12</v>
      </c>
      <c r="G298" t="s">
        <v>25</v>
      </c>
      <c r="H298">
        <v>85174.27</v>
      </c>
      <c r="I298">
        <v>1</v>
      </c>
      <c r="J298" t="str">
        <f t="shared" si="20"/>
        <v>High</v>
      </c>
      <c r="K298" t="str">
        <f t="shared" si="21"/>
        <v>High Risk</v>
      </c>
      <c r="L298">
        <f t="shared" si="22"/>
        <v>1</v>
      </c>
      <c r="M298">
        <f t="shared" si="23"/>
        <v>1</v>
      </c>
      <c r="N298" s="6">
        <f t="shared" si="24"/>
        <v>45687</v>
      </c>
    </row>
    <row r="299" spans="1:14" x14ac:dyDescent="0.3">
      <c r="A299">
        <v>714</v>
      </c>
      <c r="B299">
        <v>10032</v>
      </c>
      <c r="C299" t="s">
        <v>737</v>
      </c>
      <c r="D299" t="s">
        <v>20</v>
      </c>
      <c r="E299" t="s">
        <v>16</v>
      </c>
      <c r="F299" t="s">
        <v>12</v>
      </c>
      <c r="G299" t="s">
        <v>21</v>
      </c>
      <c r="H299">
        <v>99146.21</v>
      </c>
      <c r="I299">
        <v>0</v>
      </c>
      <c r="J299" t="str">
        <f t="shared" si="20"/>
        <v>High</v>
      </c>
      <c r="K299" t="str">
        <f t="shared" si="21"/>
        <v>Normal</v>
      </c>
      <c r="L299">
        <f t="shared" si="22"/>
        <v>1</v>
      </c>
      <c r="M299">
        <f t="shared" si="23"/>
        <v>1</v>
      </c>
      <c r="N299" s="6">
        <f t="shared" si="24"/>
        <v>45687</v>
      </c>
    </row>
    <row r="300" spans="1:14" x14ac:dyDescent="0.3">
      <c r="A300">
        <v>715</v>
      </c>
      <c r="B300">
        <v>10037</v>
      </c>
      <c r="C300" t="s">
        <v>738</v>
      </c>
      <c r="D300" t="s">
        <v>23</v>
      </c>
      <c r="E300" t="s">
        <v>16</v>
      </c>
      <c r="F300" t="s">
        <v>12</v>
      </c>
      <c r="G300" t="s">
        <v>21</v>
      </c>
      <c r="H300">
        <v>72711.199999999997</v>
      </c>
      <c r="I300">
        <v>0</v>
      </c>
      <c r="J300" t="str">
        <f t="shared" si="20"/>
        <v>High</v>
      </c>
      <c r="K300" t="str">
        <f t="shared" si="21"/>
        <v>Normal</v>
      </c>
      <c r="L300">
        <f t="shared" si="22"/>
        <v>1</v>
      </c>
      <c r="M300">
        <f t="shared" si="23"/>
        <v>1</v>
      </c>
      <c r="N300" s="6">
        <f t="shared" si="24"/>
        <v>45687</v>
      </c>
    </row>
    <row r="301" spans="1:14" x14ac:dyDescent="0.3">
      <c r="A301">
        <v>716</v>
      </c>
      <c r="B301">
        <v>10005</v>
      </c>
      <c r="C301" t="s">
        <v>739</v>
      </c>
      <c r="D301" t="s">
        <v>23</v>
      </c>
      <c r="E301" t="s">
        <v>11</v>
      </c>
      <c r="F301" t="s">
        <v>17</v>
      </c>
      <c r="G301" t="s">
        <v>18</v>
      </c>
      <c r="H301">
        <v>78498.490000000005</v>
      </c>
      <c r="I301">
        <v>1</v>
      </c>
      <c r="J301" t="str">
        <f t="shared" si="20"/>
        <v>High</v>
      </c>
      <c r="K301" t="str">
        <f t="shared" si="21"/>
        <v>High Risk</v>
      </c>
      <c r="L301">
        <f t="shared" si="22"/>
        <v>1</v>
      </c>
      <c r="M301">
        <f t="shared" si="23"/>
        <v>1</v>
      </c>
      <c r="N301" s="6">
        <f t="shared" si="24"/>
        <v>45687</v>
      </c>
    </row>
    <row r="302" spans="1:14" x14ac:dyDescent="0.3">
      <c r="A302">
        <v>717</v>
      </c>
      <c r="B302">
        <v>10057</v>
      </c>
      <c r="C302" t="s">
        <v>740</v>
      </c>
      <c r="D302" t="s">
        <v>23</v>
      </c>
      <c r="E302" t="s">
        <v>24</v>
      </c>
      <c r="F302" t="s">
        <v>17</v>
      </c>
      <c r="G302" t="s">
        <v>18</v>
      </c>
      <c r="H302">
        <v>99442.09</v>
      </c>
      <c r="I302">
        <v>0</v>
      </c>
      <c r="J302" t="str">
        <f t="shared" si="20"/>
        <v>High</v>
      </c>
      <c r="K302" t="str">
        <f t="shared" si="21"/>
        <v>Normal</v>
      </c>
      <c r="L302">
        <f t="shared" si="22"/>
        <v>1</v>
      </c>
      <c r="M302">
        <f t="shared" si="23"/>
        <v>1</v>
      </c>
      <c r="N302" s="6">
        <f t="shared" si="24"/>
        <v>45687</v>
      </c>
    </row>
    <row r="303" spans="1:14" x14ac:dyDescent="0.3">
      <c r="A303">
        <v>718</v>
      </c>
      <c r="B303">
        <v>10043</v>
      </c>
      <c r="C303" t="s">
        <v>741</v>
      </c>
      <c r="D303" t="s">
        <v>15</v>
      </c>
      <c r="E303" t="s">
        <v>16</v>
      </c>
      <c r="F303" t="s">
        <v>17</v>
      </c>
      <c r="G303" t="s">
        <v>18</v>
      </c>
      <c r="H303">
        <v>60587.58</v>
      </c>
      <c r="I303">
        <v>0</v>
      </c>
      <c r="J303" t="str">
        <f t="shared" si="20"/>
        <v>High</v>
      </c>
      <c r="K303" t="str">
        <f t="shared" si="21"/>
        <v>Normal</v>
      </c>
      <c r="L303">
        <f t="shared" si="22"/>
        <v>1</v>
      </c>
      <c r="M303">
        <f t="shared" si="23"/>
        <v>1</v>
      </c>
      <c r="N303" s="6">
        <f t="shared" si="24"/>
        <v>45687</v>
      </c>
    </row>
    <row r="304" spans="1:14" x14ac:dyDescent="0.3">
      <c r="A304">
        <v>719</v>
      </c>
      <c r="B304">
        <v>10044</v>
      </c>
      <c r="C304" t="s">
        <v>742</v>
      </c>
      <c r="D304" t="s">
        <v>20</v>
      </c>
      <c r="E304" t="s">
        <v>11</v>
      </c>
      <c r="F304" t="s">
        <v>12</v>
      </c>
      <c r="G304" t="s">
        <v>21</v>
      </c>
      <c r="H304">
        <v>30857.85</v>
      </c>
      <c r="I304">
        <v>0</v>
      </c>
      <c r="J304" t="str">
        <f t="shared" si="20"/>
        <v>High</v>
      </c>
      <c r="K304" t="str">
        <f t="shared" si="21"/>
        <v>Normal</v>
      </c>
      <c r="L304">
        <f t="shared" si="22"/>
        <v>1</v>
      </c>
      <c r="M304">
        <f t="shared" si="23"/>
        <v>1</v>
      </c>
      <c r="N304" s="6">
        <f t="shared" si="24"/>
        <v>45687</v>
      </c>
    </row>
    <row r="305" spans="1:14" x14ac:dyDescent="0.3">
      <c r="A305">
        <v>720</v>
      </c>
      <c r="B305">
        <v>10031</v>
      </c>
      <c r="C305" t="s">
        <v>743</v>
      </c>
      <c r="D305" t="s">
        <v>20</v>
      </c>
      <c r="E305" t="s">
        <v>24</v>
      </c>
      <c r="F305" t="s">
        <v>12</v>
      </c>
      <c r="G305" t="s">
        <v>25</v>
      </c>
      <c r="H305">
        <v>83769.33</v>
      </c>
      <c r="I305">
        <v>0</v>
      </c>
      <c r="J305" t="str">
        <f t="shared" si="20"/>
        <v>High</v>
      </c>
      <c r="K305" t="str">
        <f t="shared" si="21"/>
        <v>Normal</v>
      </c>
      <c r="L305">
        <f t="shared" si="22"/>
        <v>1</v>
      </c>
      <c r="M305">
        <f t="shared" si="23"/>
        <v>1</v>
      </c>
      <c r="N305" s="6">
        <f t="shared" si="24"/>
        <v>45687</v>
      </c>
    </row>
    <row r="306" spans="1:14" x14ac:dyDescent="0.3">
      <c r="A306">
        <v>673</v>
      </c>
      <c r="B306">
        <v>10036</v>
      </c>
      <c r="C306" t="s">
        <v>696</v>
      </c>
      <c r="D306" t="s">
        <v>20</v>
      </c>
      <c r="E306" t="s">
        <v>11</v>
      </c>
      <c r="F306" t="s">
        <v>12</v>
      </c>
      <c r="G306" t="s">
        <v>21</v>
      </c>
      <c r="H306">
        <v>1936.78</v>
      </c>
      <c r="I306">
        <v>0</v>
      </c>
      <c r="J306" t="str">
        <f t="shared" si="20"/>
        <v>High</v>
      </c>
      <c r="K306" t="str">
        <f t="shared" si="21"/>
        <v>Normal</v>
      </c>
      <c r="L306">
        <f t="shared" si="22"/>
        <v>1</v>
      </c>
      <c r="M306">
        <f t="shared" si="23"/>
        <v>1</v>
      </c>
      <c r="N306" s="6">
        <f t="shared" si="24"/>
        <v>45686</v>
      </c>
    </row>
    <row r="307" spans="1:14" x14ac:dyDescent="0.3">
      <c r="A307">
        <v>674</v>
      </c>
      <c r="B307">
        <v>10037</v>
      </c>
      <c r="C307" t="s">
        <v>697</v>
      </c>
      <c r="D307" t="s">
        <v>10</v>
      </c>
      <c r="E307" t="s">
        <v>11</v>
      </c>
      <c r="F307" t="s">
        <v>12</v>
      </c>
      <c r="G307" t="s">
        <v>21</v>
      </c>
      <c r="H307">
        <v>46460.26</v>
      </c>
      <c r="I307">
        <v>0</v>
      </c>
      <c r="J307" t="str">
        <f t="shared" si="20"/>
        <v>High</v>
      </c>
      <c r="K307" t="str">
        <f t="shared" si="21"/>
        <v>Normal</v>
      </c>
      <c r="L307">
        <f t="shared" si="22"/>
        <v>1</v>
      </c>
      <c r="M307">
        <f t="shared" si="23"/>
        <v>1</v>
      </c>
      <c r="N307" s="6">
        <f t="shared" si="24"/>
        <v>45686</v>
      </c>
    </row>
    <row r="308" spans="1:14" x14ac:dyDescent="0.3">
      <c r="A308">
        <v>675</v>
      </c>
      <c r="B308">
        <v>10082</v>
      </c>
      <c r="C308" t="s">
        <v>698</v>
      </c>
      <c r="D308" t="s">
        <v>20</v>
      </c>
      <c r="E308" t="s">
        <v>11</v>
      </c>
      <c r="F308" t="s">
        <v>12</v>
      </c>
      <c r="G308" t="s">
        <v>18</v>
      </c>
      <c r="H308">
        <v>94311.88</v>
      </c>
      <c r="I308">
        <v>1</v>
      </c>
      <c r="J308" t="str">
        <f t="shared" si="20"/>
        <v>High</v>
      </c>
      <c r="K308" t="str">
        <f t="shared" si="21"/>
        <v>High Risk</v>
      </c>
      <c r="L308">
        <f t="shared" si="22"/>
        <v>1</v>
      </c>
      <c r="M308">
        <f t="shared" si="23"/>
        <v>1</v>
      </c>
      <c r="N308" s="6">
        <f t="shared" si="24"/>
        <v>45686</v>
      </c>
    </row>
    <row r="309" spans="1:14" x14ac:dyDescent="0.3">
      <c r="A309">
        <v>676</v>
      </c>
      <c r="B309">
        <v>10007</v>
      </c>
      <c r="C309" t="s">
        <v>699</v>
      </c>
      <c r="D309" t="s">
        <v>23</v>
      </c>
      <c r="E309" t="s">
        <v>24</v>
      </c>
      <c r="F309" t="s">
        <v>17</v>
      </c>
      <c r="G309" t="s">
        <v>13</v>
      </c>
      <c r="H309">
        <v>32449.58</v>
      </c>
      <c r="I309">
        <v>0</v>
      </c>
      <c r="J309" t="str">
        <f t="shared" si="20"/>
        <v>High</v>
      </c>
      <c r="K309" t="str">
        <f t="shared" si="21"/>
        <v>Normal</v>
      </c>
      <c r="L309">
        <f t="shared" si="22"/>
        <v>1</v>
      </c>
      <c r="M309">
        <f t="shared" si="23"/>
        <v>1</v>
      </c>
      <c r="N309" s="6">
        <f t="shared" si="24"/>
        <v>45686</v>
      </c>
    </row>
    <row r="310" spans="1:14" x14ac:dyDescent="0.3">
      <c r="A310">
        <v>677</v>
      </c>
      <c r="B310">
        <v>10064</v>
      </c>
      <c r="C310" t="s">
        <v>700</v>
      </c>
      <c r="D310" t="s">
        <v>15</v>
      </c>
      <c r="E310" t="s">
        <v>24</v>
      </c>
      <c r="F310" t="s">
        <v>12</v>
      </c>
      <c r="G310" t="s">
        <v>21</v>
      </c>
      <c r="H310">
        <v>66147.95</v>
      </c>
      <c r="I310">
        <v>0</v>
      </c>
      <c r="J310" t="str">
        <f t="shared" si="20"/>
        <v>High</v>
      </c>
      <c r="K310" t="str">
        <f t="shared" si="21"/>
        <v>Normal</v>
      </c>
      <c r="L310">
        <f t="shared" si="22"/>
        <v>1</v>
      </c>
      <c r="M310">
        <f t="shared" si="23"/>
        <v>1</v>
      </c>
      <c r="N310" s="6">
        <f t="shared" si="24"/>
        <v>45686</v>
      </c>
    </row>
    <row r="311" spans="1:14" x14ac:dyDescent="0.3">
      <c r="A311">
        <v>678</v>
      </c>
      <c r="B311">
        <v>10085</v>
      </c>
      <c r="C311" t="s">
        <v>701</v>
      </c>
      <c r="D311" t="s">
        <v>20</v>
      </c>
      <c r="E311" t="s">
        <v>24</v>
      </c>
      <c r="F311" t="s">
        <v>12</v>
      </c>
      <c r="G311" t="s">
        <v>21</v>
      </c>
      <c r="H311">
        <v>65258.31</v>
      </c>
      <c r="I311">
        <v>0</v>
      </c>
      <c r="J311" t="str">
        <f t="shared" si="20"/>
        <v>High</v>
      </c>
      <c r="K311" t="str">
        <f t="shared" si="21"/>
        <v>Normal</v>
      </c>
      <c r="L311">
        <f t="shared" si="22"/>
        <v>1</v>
      </c>
      <c r="M311">
        <f t="shared" si="23"/>
        <v>1</v>
      </c>
      <c r="N311" s="6">
        <f t="shared" si="24"/>
        <v>45686</v>
      </c>
    </row>
    <row r="312" spans="1:14" x14ac:dyDescent="0.3">
      <c r="A312">
        <v>679</v>
      </c>
      <c r="B312">
        <v>10016</v>
      </c>
      <c r="C312" t="s">
        <v>702</v>
      </c>
      <c r="D312" t="s">
        <v>15</v>
      </c>
      <c r="E312" t="s">
        <v>24</v>
      </c>
      <c r="F312" t="s">
        <v>17</v>
      </c>
      <c r="G312" t="s">
        <v>31</v>
      </c>
      <c r="H312">
        <v>25182.9</v>
      </c>
      <c r="I312">
        <v>0</v>
      </c>
      <c r="J312" t="str">
        <f t="shared" si="20"/>
        <v>High</v>
      </c>
      <c r="K312" t="str">
        <f t="shared" si="21"/>
        <v>Normal</v>
      </c>
      <c r="L312">
        <f t="shared" si="22"/>
        <v>1</v>
      </c>
      <c r="M312">
        <f t="shared" si="23"/>
        <v>1</v>
      </c>
      <c r="N312" s="6">
        <f t="shared" si="24"/>
        <v>45686</v>
      </c>
    </row>
    <row r="313" spans="1:14" x14ac:dyDescent="0.3">
      <c r="A313">
        <v>680</v>
      </c>
      <c r="B313">
        <v>10070</v>
      </c>
      <c r="C313" t="s">
        <v>703</v>
      </c>
      <c r="D313" t="s">
        <v>10</v>
      </c>
      <c r="E313" t="s">
        <v>24</v>
      </c>
      <c r="F313" t="s">
        <v>17</v>
      </c>
      <c r="G313" t="s">
        <v>31</v>
      </c>
      <c r="H313">
        <v>65077.48</v>
      </c>
      <c r="I313">
        <v>0</v>
      </c>
      <c r="J313" t="str">
        <f t="shared" si="20"/>
        <v>High</v>
      </c>
      <c r="K313" t="str">
        <f t="shared" si="21"/>
        <v>Normal</v>
      </c>
      <c r="L313">
        <f t="shared" si="22"/>
        <v>1</v>
      </c>
      <c r="M313">
        <f t="shared" si="23"/>
        <v>1</v>
      </c>
      <c r="N313" s="6">
        <f t="shared" si="24"/>
        <v>45686</v>
      </c>
    </row>
    <row r="314" spans="1:14" x14ac:dyDescent="0.3">
      <c r="A314">
        <v>681</v>
      </c>
      <c r="B314">
        <v>10088</v>
      </c>
      <c r="C314" t="s">
        <v>704</v>
      </c>
      <c r="D314" t="s">
        <v>15</v>
      </c>
      <c r="E314" t="s">
        <v>11</v>
      </c>
      <c r="F314" t="s">
        <v>17</v>
      </c>
      <c r="G314" t="s">
        <v>21</v>
      </c>
      <c r="H314">
        <v>21312.16</v>
      </c>
      <c r="I314">
        <v>0</v>
      </c>
      <c r="J314" t="str">
        <f t="shared" si="20"/>
        <v>High</v>
      </c>
      <c r="K314" t="str">
        <f t="shared" si="21"/>
        <v>Normal</v>
      </c>
      <c r="L314">
        <f t="shared" si="22"/>
        <v>1</v>
      </c>
      <c r="M314">
        <f t="shared" si="23"/>
        <v>1</v>
      </c>
      <c r="N314" s="6">
        <f t="shared" si="24"/>
        <v>45686</v>
      </c>
    </row>
    <row r="315" spans="1:14" x14ac:dyDescent="0.3">
      <c r="A315">
        <v>682</v>
      </c>
      <c r="B315">
        <v>10044</v>
      </c>
      <c r="C315" t="s">
        <v>705</v>
      </c>
      <c r="D315" t="s">
        <v>10</v>
      </c>
      <c r="E315" t="s">
        <v>24</v>
      </c>
      <c r="F315" t="s">
        <v>17</v>
      </c>
      <c r="G315" t="s">
        <v>18</v>
      </c>
      <c r="H315">
        <v>12288.54</v>
      </c>
      <c r="I315">
        <v>0</v>
      </c>
      <c r="J315" t="str">
        <f t="shared" si="20"/>
        <v>High</v>
      </c>
      <c r="K315" t="str">
        <f t="shared" si="21"/>
        <v>Normal</v>
      </c>
      <c r="L315">
        <f t="shared" si="22"/>
        <v>1</v>
      </c>
      <c r="M315">
        <f t="shared" si="23"/>
        <v>1</v>
      </c>
      <c r="N315" s="6">
        <f t="shared" si="24"/>
        <v>45686</v>
      </c>
    </row>
    <row r="316" spans="1:14" x14ac:dyDescent="0.3">
      <c r="A316">
        <v>683</v>
      </c>
      <c r="B316">
        <v>10003</v>
      </c>
      <c r="C316" t="s">
        <v>706</v>
      </c>
      <c r="D316" t="s">
        <v>23</v>
      </c>
      <c r="E316" t="s">
        <v>24</v>
      </c>
      <c r="F316" t="s">
        <v>12</v>
      </c>
      <c r="G316" t="s">
        <v>21</v>
      </c>
      <c r="H316">
        <v>70168.19</v>
      </c>
      <c r="I316">
        <v>0</v>
      </c>
      <c r="J316" t="str">
        <f t="shared" si="20"/>
        <v>High</v>
      </c>
      <c r="K316" t="str">
        <f t="shared" si="21"/>
        <v>Normal</v>
      </c>
      <c r="L316">
        <f t="shared" si="22"/>
        <v>1</v>
      </c>
      <c r="M316">
        <f t="shared" si="23"/>
        <v>1</v>
      </c>
      <c r="N316" s="6">
        <f t="shared" si="24"/>
        <v>45686</v>
      </c>
    </row>
    <row r="317" spans="1:14" x14ac:dyDescent="0.3">
      <c r="A317">
        <v>684</v>
      </c>
      <c r="B317">
        <v>10035</v>
      </c>
      <c r="C317" t="s">
        <v>707</v>
      </c>
      <c r="D317" t="s">
        <v>10</v>
      </c>
      <c r="E317" t="s">
        <v>11</v>
      </c>
      <c r="F317" t="s">
        <v>12</v>
      </c>
      <c r="G317" t="s">
        <v>25</v>
      </c>
      <c r="H317">
        <v>11432.74</v>
      </c>
      <c r="I317">
        <v>0</v>
      </c>
      <c r="J317" t="str">
        <f t="shared" si="20"/>
        <v>High</v>
      </c>
      <c r="K317" t="str">
        <f t="shared" si="21"/>
        <v>Normal</v>
      </c>
      <c r="L317">
        <f t="shared" si="22"/>
        <v>1</v>
      </c>
      <c r="M317">
        <f t="shared" si="23"/>
        <v>1</v>
      </c>
      <c r="N317" s="6">
        <f t="shared" si="24"/>
        <v>45686</v>
      </c>
    </row>
    <row r="318" spans="1:14" x14ac:dyDescent="0.3">
      <c r="A318">
        <v>685</v>
      </c>
      <c r="B318">
        <v>10069</v>
      </c>
      <c r="C318" t="s">
        <v>708</v>
      </c>
      <c r="D318" t="s">
        <v>10</v>
      </c>
      <c r="E318" t="s">
        <v>24</v>
      </c>
      <c r="F318" t="s">
        <v>17</v>
      </c>
      <c r="G318" t="s">
        <v>13</v>
      </c>
      <c r="H318">
        <v>99691.23</v>
      </c>
      <c r="I318">
        <v>0</v>
      </c>
      <c r="J318" t="str">
        <f t="shared" si="20"/>
        <v>High</v>
      </c>
      <c r="K318" t="str">
        <f t="shared" si="21"/>
        <v>Normal</v>
      </c>
      <c r="L318">
        <f t="shared" si="22"/>
        <v>1</v>
      </c>
      <c r="M318">
        <f t="shared" si="23"/>
        <v>1</v>
      </c>
      <c r="N318" s="6">
        <f t="shared" si="24"/>
        <v>45686</v>
      </c>
    </row>
    <row r="319" spans="1:14" x14ac:dyDescent="0.3">
      <c r="A319">
        <v>686</v>
      </c>
      <c r="B319">
        <v>10030</v>
      </c>
      <c r="C319" t="s">
        <v>709</v>
      </c>
      <c r="D319" t="s">
        <v>29</v>
      </c>
      <c r="E319" t="s">
        <v>11</v>
      </c>
      <c r="F319" t="s">
        <v>17</v>
      </c>
      <c r="G319" t="s">
        <v>18</v>
      </c>
      <c r="H319">
        <v>18426.89</v>
      </c>
      <c r="I319">
        <v>0</v>
      </c>
      <c r="J319" t="str">
        <f t="shared" si="20"/>
        <v>High</v>
      </c>
      <c r="K319" t="str">
        <f t="shared" si="21"/>
        <v>Normal</v>
      </c>
      <c r="L319">
        <f t="shared" si="22"/>
        <v>1</v>
      </c>
      <c r="M319">
        <f t="shared" si="23"/>
        <v>1</v>
      </c>
      <c r="N319" s="6">
        <f t="shared" si="24"/>
        <v>45686</v>
      </c>
    </row>
    <row r="320" spans="1:14" x14ac:dyDescent="0.3">
      <c r="A320">
        <v>687</v>
      </c>
      <c r="B320">
        <v>10018</v>
      </c>
      <c r="C320" t="s">
        <v>710</v>
      </c>
      <c r="D320" t="s">
        <v>20</v>
      </c>
      <c r="E320" t="s">
        <v>11</v>
      </c>
      <c r="F320" t="s">
        <v>17</v>
      </c>
      <c r="G320" t="s">
        <v>25</v>
      </c>
      <c r="H320">
        <v>59454.77</v>
      </c>
      <c r="I320">
        <v>1</v>
      </c>
      <c r="J320" t="str">
        <f t="shared" si="20"/>
        <v>High</v>
      </c>
      <c r="K320" t="str">
        <f t="shared" si="21"/>
        <v>High Risk</v>
      </c>
      <c r="L320">
        <f t="shared" si="22"/>
        <v>1</v>
      </c>
      <c r="M320">
        <f t="shared" si="23"/>
        <v>1</v>
      </c>
      <c r="N320" s="6">
        <f t="shared" si="24"/>
        <v>45686</v>
      </c>
    </row>
    <row r="321" spans="1:14" x14ac:dyDescent="0.3">
      <c r="A321">
        <v>688</v>
      </c>
      <c r="B321">
        <v>10060</v>
      </c>
      <c r="C321" t="s">
        <v>711</v>
      </c>
      <c r="D321" t="s">
        <v>20</v>
      </c>
      <c r="E321" t="s">
        <v>16</v>
      </c>
      <c r="F321" t="s">
        <v>12</v>
      </c>
      <c r="G321" t="s">
        <v>18</v>
      </c>
      <c r="H321">
        <v>41196.32</v>
      </c>
      <c r="I321">
        <v>0</v>
      </c>
      <c r="J321" t="str">
        <f t="shared" si="20"/>
        <v>High</v>
      </c>
      <c r="K321" t="str">
        <f t="shared" si="21"/>
        <v>Normal</v>
      </c>
      <c r="L321">
        <f t="shared" si="22"/>
        <v>1</v>
      </c>
      <c r="M321">
        <f t="shared" si="23"/>
        <v>1</v>
      </c>
      <c r="N321" s="6">
        <f t="shared" si="24"/>
        <v>45686</v>
      </c>
    </row>
    <row r="322" spans="1:14" x14ac:dyDescent="0.3">
      <c r="A322">
        <v>689</v>
      </c>
      <c r="B322">
        <v>10053</v>
      </c>
      <c r="C322" t="s">
        <v>712</v>
      </c>
      <c r="D322" t="s">
        <v>23</v>
      </c>
      <c r="E322" t="s">
        <v>16</v>
      </c>
      <c r="F322" t="s">
        <v>12</v>
      </c>
      <c r="G322" t="s">
        <v>25</v>
      </c>
      <c r="H322">
        <v>12726</v>
      </c>
      <c r="I322">
        <v>0</v>
      </c>
      <c r="J322" t="str">
        <f t="shared" ref="J322:J385" si="25">IF(E322&gt;50000,"High","Normal")</f>
        <v>High</v>
      </c>
      <c r="K322" t="str">
        <f t="shared" ref="K322:K385" si="26">IF(AND(H322&gt;50000,E322="Online"),"High Risk","Normal")</f>
        <v>Normal</v>
      </c>
      <c r="L322">
        <f t="shared" ref="L322:L385" si="27">COUNTIFS(C:C,C322,B:B,B322)</f>
        <v>1</v>
      </c>
      <c r="M322">
        <f t="shared" ref="M322:M385" si="28">IF(E322&gt;50000,1,0) + IF(H322="Unusual",1,0) + IF(I322&gt;3,1,0)</f>
        <v>1</v>
      </c>
      <c r="N322" s="6">
        <f t="shared" ref="N322:N385" si="29">INT(C322)</f>
        <v>45686</v>
      </c>
    </row>
    <row r="323" spans="1:14" x14ac:dyDescent="0.3">
      <c r="A323">
        <v>690</v>
      </c>
      <c r="B323">
        <v>10038</v>
      </c>
      <c r="C323" t="s">
        <v>713</v>
      </c>
      <c r="D323" t="s">
        <v>23</v>
      </c>
      <c r="E323" t="s">
        <v>16</v>
      </c>
      <c r="F323" t="s">
        <v>17</v>
      </c>
      <c r="G323" t="s">
        <v>13</v>
      </c>
      <c r="H323">
        <v>2881.61</v>
      </c>
      <c r="I323">
        <v>0</v>
      </c>
      <c r="J323" t="str">
        <f t="shared" si="25"/>
        <v>High</v>
      </c>
      <c r="K323" t="str">
        <f t="shared" si="26"/>
        <v>Normal</v>
      </c>
      <c r="L323">
        <f t="shared" si="27"/>
        <v>1</v>
      </c>
      <c r="M323">
        <f t="shared" si="28"/>
        <v>1</v>
      </c>
      <c r="N323" s="6">
        <f t="shared" si="29"/>
        <v>45686</v>
      </c>
    </row>
    <row r="324" spans="1:14" x14ac:dyDescent="0.3">
      <c r="A324">
        <v>691</v>
      </c>
      <c r="B324">
        <v>10090</v>
      </c>
      <c r="C324" t="s">
        <v>714</v>
      </c>
      <c r="D324" t="s">
        <v>20</v>
      </c>
      <c r="E324" t="s">
        <v>16</v>
      </c>
      <c r="F324" t="s">
        <v>17</v>
      </c>
      <c r="G324" t="s">
        <v>13</v>
      </c>
      <c r="H324">
        <v>62310.96</v>
      </c>
      <c r="I324">
        <v>0</v>
      </c>
      <c r="J324" t="str">
        <f t="shared" si="25"/>
        <v>High</v>
      </c>
      <c r="K324" t="str">
        <f t="shared" si="26"/>
        <v>Normal</v>
      </c>
      <c r="L324">
        <f t="shared" si="27"/>
        <v>1</v>
      </c>
      <c r="M324">
        <f t="shared" si="28"/>
        <v>1</v>
      </c>
      <c r="N324" s="6">
        <f t="shared" si="29"/>
        <v>45686</v>
      </c>
    </row>
    <row r="325" spans="1:14" x14ac:dyDescent="0.3">
      <c r="A325">
        <v>692</v>
      </c>
      <c r="B325">
        <v>10073</v>
      </c>
      <c r="C325" t="s">
        <v>715</v>
      </c>
      <c r="D325" t="s">
        <v>29</v>
      </c>
      <c r="E325" t="s">
        <v>24</v>
      </c>
      <c r="F325" t="s">
        <v>12</v>
      </c>
      <c r="G325" t="s">
        <v>31</v>
      </c>
      <c r="H325">
        <v>80695.08</v>
      </c>
      <c r="I325">
        <v>0</v>
      </c>
      <c r="J325" t="str">
        <f t="shared" si="25"/>
        <v>High</v>
      </c>
      <c r="K325" t="str">
        <f t="shared" si="26"/>
        <v>Normal</v>
      </c>
      <c r="L325">
        <f t="shared" si="27"/>
        <v>1</v>
      </c>
      <c r="M325">
        <f t="shared" si="28"/>
        <v>1</v>
      </c>
      <c r="N325" s="6">
        <f t="shared" si="29"/>
        <v>45686</v>
      </c>
    </row>
    <row r="326" spans="1:14" x14ac:dyDescent="0.3">
      <c r="A326">
        <v>693</v>
      </c>
      <c r="B326">
        <v>10089</v>
      </c>
      <c r="C326" t="s">
        <v>716</v>
      </c>
      <c r="D326" t="s">
        <v>20</v>
      </c>
      <c r="E326" t="s">
        <v>16</v>
      </c>
      <c r="F326" t="s">
        <v>17</v>
      </c>
      <c r="G326" t="s">
        <v>25</v>
      </c>
      <c r="H326">
        <v>84217.36</v>
      </c>
      <c r="I326">
        <v>0</v>
      </c>
      <c r="J326" t="str">
        <f t="shared" si="25"/>
        <v>High</v>
      </c>
      <c r="K326" t="str">
        <f t="shared" si="26"/>
        <v>Normal</v>
      </c>
      <c r="L326">
        <f t="shared" si="27"/>
        <v>1</v>
      </c>
      <c r="M326">
        <f t="shared" si="28"/>
        <v>1</v>
      </c>
      <c r="N326" s="6">
        <f t="shared" si="29"/>
        <v>45686</v>
      </c>
    </row>
    <row r="327" spans="1:14" x14ac:dyDescent="0.3">
      <c r="A327">
        <v>694</v>
      </c>
      <c r="B327">
        <v>10018</v>
      </c>
      <c r="C327" t="s">
        <v>717</v>
      </c>
      <c r="D327" t="s">
        <v>29</v>
      </c>
      <c r="E327" t="s">
        <v>11</v>
      </c>
      <c r="F327" t="s">
        <v>17</v>
      </c>
      <c r="G327" t="s">
        <v>31</v>
      </c>
      <c r="H327">
        <v>48323.08</v>
      </c>
      <c r="I327">
        <v>0</v>
      </c>
      <c r="J327" t="str">
        <f t="shared" si="25"/>
        <v>High</v>
      </c>
      <c r="K327" t="str">
        <f t="shared" si="26"/>
        <v>Normal</v>
      </c>
      <c r="L327">
        <f t="shared" si="27"/>
        <v>1</v>
      </c>
      <c r="M327">
        <f t="shared" si="28"/>
        <v>1</v>
      </c>
      <c r="N327" s="6">
        <f t="shared" si="29"/>
        <v>45686</v>
      </c>
    </row>
    <row r="328" spans="1:14" x14ac:dyDescent="0.3">
      <c r="A328">
        <v>695</v>
      </c>
      <c r="B328">
        <v>10038</v>
      </c>
      <c r="C328" t="s">
        <v>718</v>
      </c>
      <c r="D328" t="s">
        <v>23</v>
      </c>
      <c r="E328" t="s">
        <v>24</v>
      </c>
      <c r="F328" t="s">
        <v>12</v>
      </c>
      <c r="G328" t="s">
        <v>25</v>
      </c>
      <c r="H328">
        <v>77767.8</v>
      </c>
      <c r="I328">
        <v>0</v>
      </c>
      <c r="J328" t="str">
        <f t="shared" si="25"/>
        <v>High</v>
      </c>
      <c r="K328" t="str">
        <f t="shared" si="26"/>
        <v>Normal</v>
      </c>
      <c r="L328">
        <f t="shared" si="27"/>
        <v>1</v>
      </c>
      <c r="M328">
        <f t="shared" si="28"/>
        <v>1</v>
      </c>
      <c r="N328" s="6">
        <f t="shared" si="29"/>
        <v>45686</v>
      </c>
    </row>
    <row r="329" spans="1:14" x14ac:dyDescent="0.3">
      <c r="A329">
        <v>696</v>
      </c>
      <c r="B329">
        <v>10066</v>
      </c>
      <c r="C329" t="s">
        <v>719</v>
      </c>
      <c r="D329" t="s">
        <v>15</v>
      </c>
      <c r="E329" t="s">
        <v>16</v>
      </c>
      <c r="F329" t="s">
        <v>17</v>
      </c>
      <c r="G329" t="s">
        <v>31</v>
      </c>
      <c r="H329">
        <v>67317.429999999993</v>
      </c>
      <c r="I329">
        <v>0</v>
      </c>
      <c r="J329" t="str">
        <f t="shared" si="25"/>
        <v>High</v>
      </c>
      <c r="K329" t="str">
        <f t="shared" si="26"/>
        <v>Normal</v>
      </c>
      <c r="L329">
        <f t="shared" si="27"/>
        <v>1</v>
      </c>
      <c r="M329">
        <f t="shared" si="28"/>
        <v>1</v>
      </c>
      <c r="N329" s="6">
        <f t="shared" si="29"/>
        <v>45686</v>
      </c>
    </row>
    <row r="330" spans="1:14" x14ac:dyDescent="0.3">
      <c r="A330">
        <v>649</v>
      </c>
      <c r="B330">
        <v>10013</v>
      </c>
      <c r="C330" t="s">
        <v>672</v>
      </c>
      <c r="D330" t="s">
        <v>10</v>
      </c>
      <c r="E330" t="s">
        <v>24</v>
      </c>
      <c r="F330" t="s">
        <v>17</v>
      </c>
      <c r="G330" t="s">
        <v>21</v>
      </c>
      <c r="H330">
        <v>60358.9</v>
      </c>
      <c r="I330">
        <v>0</v>
      </c>
      <c r="J330" t="str">
        <f t="shared" si="25"/>
        <v>High</v>
      </c>
      <c r="K330" t="str">
        <f t="shared" si="26"/>
        <v>Normal</v>
      </c>
      <c r="L330">
        <f t="shared" si="27"/>
        <v>1</v>
      </c>
      <c r="M330">
        <f t="shared" si="28"/>
        <v>1</v>
      </c>
      <c r="N330" s="6">
        <f t="shared" si="29"/>
        <v>45685</v>
      </c>
    </row>
    <row r="331" spans="1:14" x14ac:dyDescent="0.3">
      <c r="A331">
        <v>650</v>
      </c>
      <c r="B331">
        <v>10094</v>
      </c>
      <c r="C331" t="s">
        <v>673</v>
      </c>
      <c r="D331" t="s">
        <v>29</v>
      </c>
      <c r="E331" t="s">
        <v>16</v>
      </c>
      <c r="F331" t="s">
        <v>12</v>
      </c>
      <c r="G331" t="s">
        <v>18</v>
      </c>
      <c r="H331">
        <v>52407.69</v>
      </c>
      <c r="I331">
        <v>0</v>
      </c>
      <c r="J331" t="str">
        <f t="shared" si="25"/>
        <v>High</v>
      </c>
      <c r="K331" t="str">
        <f t="shared" si="26"/>
        <v>Normal</v>
      </c>
      <c r="L331">
        <f t="shared" si="27"/>
        <v>1</v>
      </c>
      <c r="M331">
        <f t="shared" si="28"/>
        <v>1</v>
      </c>
      <c r="N331" s="6">
        <f t="shared" si="29"/>
        <v>45685</v>
      </c>
    </row>
    <row r="332" spans="1:14" x14ac:dyDescent="0.3">
      <c r="A332">
        <v>651</v>
      </c>
      <c r="B332">
        <v>10004</v>
      </c>
      <c r="C332" t="s">
        <v>674</v>
      </c>
      <c r="D332" t="s">
        <v>29</v>
      </c>
      <c r="E332" t="s">
        <v>16</v>
      </c>
      <c r="F332" t="s">
        <v>17</v>
      </c>
      <c r="G332" t="s">
        <v>13</v>
      </c>
      <c r="H332">
        <v>25433.05</v>
      </c>
      <c r="I332">
        <v>0</v>
      </c>
      <c r="J332" t="str">
        <f t="shared" si="25"/>
        <v>High</v>
      </c>
      <c r="K332" t="str">
        <f t="shared" si="26"/>
        <v>Normal</v>
      </c>
      <c r="L332">
        <f t="shared" si="27"/>
        <v>1</v>
      </c>
      <c r="M332">
        <f t="shared" si="28"/>
        <v>1</v>
      </c>
      <c r="N332" s="6">
        <f t="shared" si="29"/>
        <v>45685</v>
      </c>
    </row>
    <row r="333" spans="1:14" x14ac:dyDescent="0.3">
      <c r="A333">
        <v>652</v>
      </c>
      <c r="B333">
        <v>10034</v>
      </c>
      <c r="C333" t="s">
        <v>675</v>
      </c>
      <c r="D333" t="s">
        <v>20</v>
      </c>
      <c r="E333" t="s">
        <v>11</v>
      </c>
      <c r="F333" t="s">
        <v>12</v>
      </c>
      <c r="G333" t="s">
        <v>25</v>
      </c>
      <c r="H333">
        <v>47147.91</v>
      </c>
      <c r="I333">
        <v>0</v>
      </c>
      <c r="J333" t="str">
        <f t="shared" si="25"/>
        <v>High</v>
      </c>
      <c r="K333" t="str">
        <f t="shared" si="26"/>
        <v>Normal</v>
      </c>
      <c r="L333">
        <f t="shared" si="27"/>
        <v>1</v>
      </c>
      <c r="M333">
        <f t="shared" si="28"/>
        <v>1</v>
      </c>
      <c r="N333" s="6">
        <f t="shared" si="29"/>
        <v>45685</v>
      </c>
    </row>
    <row r="334" spans="1:14" x14ac:dyDescent="0.3">
      <c r="A334">
        <v>653</v>
      </c>
      <c r="B334">
        <v>10086</v>
      </c>
      <c r="C334" t="s">
        <v>676</v>
      </c>
      <c r="D334" t="s">
        <v>10</v>
      </c>
      <c r="E334" t="s">
        <v>11</v>
      </c>
      <c r="F334" t="s">
        <v>17</v>
      </c>
      <c r="G334" t="s">
        <v>13</v>
      </c>
      <c r="H334">
        <v>49274.01</v>
      </c>
      <c r="I334">
        <v>0</v>
      </c>
      <c r="J334" t="str">
        <f t="shared" si="25"/>
        <v>High</v>
      </c>
      <c r="K334" t="str">
        <f t="shared" si="26"/>
        <v>Normal</v>
      </c>
      <c r="L334">
        <f t="shared" si="27"/>
        <v>1</v>
      </c>
      <c r="M334">
        <f t="shared" si="28"/>
        <v>1</v>
      </c>
      <c r="N334" s="6">
        <f t="shared" si="29"/>
        <v>45685</v>
      </c>
    </row>
    <row r="335" spans="1:14" x14ac:dyDescent="0.3">
      <c r="A335">
        <v>654</v>
      </c>
      <c r="B335">
        <v>10092</v>
      </c>
      <c r="C335" t="s">
        <v>677</v>
      </c>
      <c r="D335" t="s">
        <v>29</v>
      </c>
      <c r="E335" t="s">
        <v>16</v>
      </c>
      <c r="F335" t="s">
        <v>17</v>
      </c>
      <c r="G335" t="s">
        <v>18</v>
      </c>
      <c r="H335">
        <v>19581.400000000001</v>
      </c>
      <c r="I335">
        <v>0</v>
      </c>
      <c r="J335" t="str">
        <f t="shared" si="25"/>
        <v>High</v>
      </c>
      <c r="K335" t="str">
        <f t="shared" si="26"/>
        <v>Normal</v>
      </c>
      <c r="L335">
        <f t="shared" si="27"/>
        <v>1</v>
      </c>
      <c r="M335">
        <f t="shared" si="28"/>
        <v>1</v>
      </c>
      <c r="N335" s="6">
        <f t="shared" si="29"/>
        <v>45685</v>
      </c>
    </row>
    <row r="336" spans="1:14" x14ac:dyDescent="0.3">
      <c r="A336">
        <v>655</v>
      </c>
      <c r="B336">
        <v>10074</v>
      </c>
      <c r="C336" t="s">
        <v>678</v>
      </c>
      <c r="D336" t="s">
        <v>23</v>
      </c>
      <c r="E336" t="s">
        <v>24</v>
      </c>
      <c r="F336" t="s">
        <v>12</v>
      </c>
      <c r="G336" t="s">
        <v>25</v>
      </c>
      <c r="H336">
        <v>65244.1</v>
      </c>
      <c r="I336">
        <v>0</v>
      </c>
      <c r="J336" t="str">
        <f t="shared" si="25"/>
        <v>High</v>
      </c>
      <c r="K336" t="str">
        <f t="shared" si="26"/>
        <v>Normal</v>
      </c>
      <c r="L336">
        <f t="shared" si="27"/>
        <v>1</v>
      </c>
      <c r="M336">
        <f t="shared" si="28"/>
        <v>1</v>
      </c>
      <c r="N336" s="6">
        <f t="shared" si="29"/>
        <v>45685</v>
      </c>
    </row>
    <row r="337" spans="1:14" x14ac:dyDescent="0.3">
      <c r="A337">
        <v>656</v>
      </c>
      <c r="B337">
        <v>10017</v>
      </c>
      <c r="C337" t="s">
        <v>679</v>
      </c>
      <c r="D337" t="s">
        <v>15</v>
      </c>
      <c r="E337" t="s">
        <v>24</v>
      </c>
      <c r="F337" t="s">
        <v>17</v>
      </c>
      <c r="G337" t="s">
        <v>13</v>
      </c>
      <c r="H337">
        <v>78113.84</v>
      </c>
      <c r="I337">
        <v>0</v>
      </c>
      <c r="J337" t="str">
        <f t="shared" si="25"/>
        <v>High</v>
      </c>
      <c r="K337" t="str">
        <f t="shared" si="26"/>
        <v>Normal</v>
      </c>
      <c r="L337">
        <f t="shared" si="27"/>
        <v>1</v>
      </c>
      <c r="M337">
        <f t="shared" si="28"/>
        <v>1</v>
      </c>
      <c r="N337" s="6">
        <f t="shared" si="29"/>
        <v>45685</v>
      </c>
    </row>
    <row r="338" spans="1:14" x14ac:dyDescent="0.3">
      <c r="A338">
        <v>657</v>
      </c>
      <c r="B338">
        <v>10075</v>
      </c>
      <c r="C338" t="s">
        <v>680</v>
      </c>
      <c r="D338" t="s">
        <v>15</v>
      </c>
      <c r="E338" t="s">
        <v>11</v>
      </c>
      <c r="F338" t="s">
        <v>17</v>
      </c>
      <c r="G338" t="s">
        <v>25</v>
      </c>
      <c r="H338">
        <v>79167.210000000006</v>
      </c>
      <c r="I338">
        <v>1</v>
      </c>
      <c r="J338" t="str">
        <f t="shared" si="25"/>
        <v>High</v>
      </c>
      <c r="K338" t="str">
        <f t="shared" si="26"/>
        <v>High Risk</v>
      </c>
      <c r="L338">
        <f t="shared" si="27"/>
        <v>1</v>
      </c>
      <c r="M338">
        <f t="shared" si="28"/>
        <v>1</v>
      </c>
      <c r="N338" s="6">
        <f t="shared" si="29"/>
        <v>45685</v>
      </c>
    </row>
    <row r="339" spans="1:14" x14ac:dyDescent="0.3">
      <c r="A339">
        <v>658</v>
      </c>
      <c r="B339">
        <v>10008</v>
      </c>
      <c r="C339" t="s">
        <v>681</v>
      </c>
      <c r="D339" t="s">
        <v>15</v>
      </c>
      <c r="E339" t="s">
        <v>11</v>
      </c>
      <c r="F339" t="s">
        <v>12</v>
      </c>
      <c r="G339" t="s">
        <v>21</v>
      </c>
      <c r="H339">
        <v>60286.74</v>
      </c>
      <c r="I339">
        <v>1</v>
      </c>
      <c r="J339" t="str">
        <f t="shared" si="25"/>
        <v>High</v>
      </c>
      <c r="K339" t="str">
        <f t="shared" si="26"/>
        <v>High Risk</v>
      </c>
      <c r="L339">
        <f t="shared" si="27"/>
        <v>1</v>
      </c>
      <c r="M339">
        <f t="shared" si="28"/>
        <v>1</v>
      </c>
      <c r="N339" s="6">
        <f t="shared" si="29"/>
        <v>45685</v>
      </c>
    </row>
    <row r="340" spans="1:14" x14ac:dyDescent="0.3">
      <c r="A340">
        <v>659</v>
      </c>
      <c r="B340">
        <v>10073</v>
      </c>
      <c r="C340" t="s">
        <v>682</v>
      </c>
      <c r="D340" t="s">
        <v>10</v>
      </c>
      <c r="E340" t="s">
        <v>16</v>
      </c>
      <c r="F340" t="s">
        <v>17</v>
      </c>
      <c r="G340" t="s">
        <v>13</v>
      </c>
      <c r="H340">
        <v>51212.69</v>
      </c>
      <c r="I340">
        <v>0</v>
      </c>
      <c r="J340" t="str">
        <f t="shared" si="25"/>
        <v>High</v>
      </c>
      <c r="K340" t="str">
        <f t="shared" si="26"/>
        <v>Normal</v>
      </c>
      <c r="L340">
        <f t="shared" si="27"/>
        <v>1</v>
      </c>
      <c r="M340">
        <f t="shared" si="28"/>
        <v>1</v>
      </c>
      <c r="N340" s="6">
        <f t="shared" si="29"/>
        <v>45685</v>
      </c>
    </row>
    <row r="341" spans="1:14" x14ac:dyDescent="0.3">
      <c r="A341">
        <v>660</v>
      </c>
      <c r="B341">
        <v>10057</v>
      </c>
      <c r="C341" t="s">
        <v>683</v>
      </c>
      <c r="D341" t="s">
        <v>20</v>
      </c>
      <c r="E341" t="s">
        <v>11</v>
      </c>
      <c r="F341" t="s">
        <v>12</v>
      </c>
      <c r="G341" t="s">
        <v>25</v>
      </c>
      <c r="H341">
        <v>6194.61</v>
      </c>
      <c r="I341">
        <v>0</v>
      </c>
      <c r="J341" t="str">
        <f t="shared" si="25"/>
        <v>High</v>
      </c>
      <c r="K341" t="str">
        <f t="shared" si="26"/>
        <v>Normal</v>
      </c>
      <c r="L341">
        <f t="shared" si="27"/>
        <v>1</v>
      </c>
      <c r="M341">
        <f t="shared" si="28"/>
        <v>1</v>
      </c>
      <c r="N341" s="6">
        <f t="shared" si="29"/>
        <v>45685</v>
      </c>
    </row>
    <row r="342" spans="1:14" x14ac:dyDescent="0.3">
      <c r="A342">
        <v>661</v>
      </c>
      <c r="B342">
        <v>10016</v>
      </c>
      <c r="C342" t="s">
        <v>684</v>
      </c>
      <c r="D342" t="s">
        <v>29</v>
      </c>
      <c r="E342" t="s">
        <v>16</v>
      </c>
      <c r="F342" t="s">
        <v>17</v>
      </c>
      <c r="G342" t="s">
        <v>25</v>
      </c>
      <c r="H342">
        <v>28854.35</v>
      </c>
      <c r="I342">
        <v>0</v>
      </c>
      <c r="J342" t="str">
        <f t="shared" si="25"/>
        <v>High</v>
      </c>
      <c r="K342" t="str">
        <f t="shared" si="26"/>
        <v>Normal</v>
      </c>
      <c r="L342">
        <f t="shared" si="27"/>
        <v>1</v>
      </c>
      <c r="M342">
        <f t="shared" si="28"/>
        <v>1</v>
      </c>
      <c r="N342" s="6">
        <f t="shared" si="29"/>
        <v>45685</v>
      </c>
    </row>
    <row r="343" spans="1:14" x14ac:dyDescent="0.3">
      <c r="A343">
        <v>662</v>
      </c>
      <c r="B343">
        <v>10006</v>
      </c>
      <c r="C343" t="s">
        <v>685</v>
      </c>
      <c r="D343" t="s">
        <v>23</v>
      </c>
      <c r="E343" t="s">
        <v>24</v>
      </c>
      <c r="F343" t="s">
        <v>17</v>
      </c>
      <c r="G343" t="s">
        <v>25</v>
      </c>
      <c r="H343">
        <v>9417.82</v>
      </c>
      <c r="I343">
        <v>0</v>
      </c>
      <c r="J343" t="str">
        <f t="shared" si="25"/>
        <v>High</v>
      </c>
      <c r="K343" t="str">
        <f t="shared" si="26"/>
        <v>Normal</v>
      </c>
      <c r="L343">
        <f t="shared" si="27"/>
        <v>1</v>
      </c>
      <c r="M343">
        <f t="shared" si="28"/>
        <v>1</v>
      </c>
      <c r="N343" s="6">
        <f t="shared" si="29"/>
        <v>45685</v>
      </c>
    </row>
    <row r="344" spans="1:14" x14ac:dyDescent="0.3">
      <c r="A344">
        <v>663</v>
      </c>
      <c r="B344">
        <v>10045</v>
      </c>
      <c r="C344" t="s">
        <v>686</v>
      </c>
      <c r="D344" t="s">
        <v>23</v>
      </c>
      <c r="E344" t="s">
        <v>24</v>
      </c>
      <c r="F344" t="s">
        <v>17</v>
      </c>
      <c r="G344" t="s">
        <v>13</v>
      </c>
      <c r="H344">
        <v>96385.93</v>
      </c>
      <c r="I344">
        <v>0</v>
      </c>
      <c r="J344" t="str">
        <f t="shared" si="25"/>
        <v>High</v>
      </c>
      <c r="K344" t="str">
        <f t="shared" si="26"/>
        <v>Normal</v>
      </c>
      <c r="L344">
        <f t="shared" si="27"/>
        <v>1</v>
      </c>
      <c r="M344">
        <f t="shared" si="28"/>
        <v>1</v>
      </c>
      <c r="N344" s="6">
        <f t="shared" si="29"/>
        <v>45685</v>
      </c>
    </row>
    <row r="345" spans="1:14" x14ac:dyDescent="0.3">
      <c r="A345">
        <v>664</v>
      </c>
      <c r="B345">
        <v>10012</v>
      </c>
      <c r="C345" t="s">
        <v>687</v>
      </c>
      <c r="D345" t="s">
        <v>10</v>
      </c>
      <c r="E345" t="s">
        <v>16</v>
      </c>
      <c r="F345" t="s">
        <v>17</v>
      </c>
      <c r="G345" t="s">
        <v>31</v>
      </c>
      <c r="H345">
        <v>13594.51</v>
      </c>
      <c r="I345">
        <v>0</v>
      </c>
      <c r="J345" t="str">
        <f t="shared" si="25"/>
        <v>High</v>
      </c>
      <c r="K345" t="str">
        <f t="shared" si="26"/>
        <v>Normal</v>
      </c>
      <c r="L345">
        <f t="shared" si="27"/>
        <v>1</v>
      </c>
      <c r="M345">
        <f t="shared" si="28"/>
        <v>1</v>
      </c>
      <c r="N345" s="6">
        <f t="shared" si="29"/>
        <v>45685</v>
      </c>
    </row>
    <row r="346" spans="1:14" x14ac:dyDescent="0.3">
      <c r="A346">
        <v>665</v>
      </c>
      <c r="B346">
        <v>10039</v>
      </c>
      <c r="C346" t="s">
        <v>688</v>
      </c>
      <c r="D346" t="s">
        <v>15</v>
      </c>
      <c r="E346" t="s">
        <v>11</v>
      </c>
      <c r="F346" t="s">
        <v>12</v>
      </c>
      <c r="G346" t="s">
        <v>13</v>
      </c>
      <c r="H346">
        <v>15262.36</v>
      </c>
      <c r="I346">
        <v>0</v>
      </c>
      <c r="J346" t="str">
        <f t="shared" si="25"/>
        <v>High</v>
      </c>
      <c r="K346" t="str">
        <f t="shared" si="26"/>
        <v>Normal</v>
      </c>
      <c r="L346">
        <f t="shared" si="27"/>
        <v>1</v>
      </c>
      <c r="M346">
        <f t="shared" si="28"/>
        <v>1</v>
      </c>
      <c r="N346" s="6">
        <f t="shared" si="29"/>
        <v>45685</v>
      </c>
    </row>
    <row r="347" spans="1:14" x14ac:dyDescent="0.3">
      <c r="A347">
        <v>666</v>
      </c>
      <c r="B347">
        <v>10041</v>
      </c>
      <c r="C347" t="s">
        <v>689</v>
      </c>
      <c r="D347" t="s">
        <v>10</v>
      </c>
      <c r="E347" t="s">
        <v>24</v>
      </c>
      <c r="F347" t="s">
        <v>17</v>
      </c>
      <c r="G347" t="s">
        <v>18</v>
      </c>
      <c r="H347">
        <v>88968.7</v>
      </c>
      <c r="I347">
        <v>0</v>
      </c>
      <c r="J347" t="str">
        <f t="shared" si="25"/>
        <v>High</v>
      </c>
      <c r="K347" t="str">
        <f t="shared" si="26"/>
        <v>Normal</v>
      </c>
      <c r="L347">
        <f t="shared" si="27"/>
        <v>1</v>
      </c>
      <c r="M347">
        <f t="shared" si="28"/>
        <v>1</v>
      </c>
      <c r="N347" s="6">
        <f t="shared" si="29"/>
        <v>45685</v>
      </c>
    </row>
    <row r="348" spans="1:14" x14ac:dyDescent="0.3">
      <c r="A348">
        <v>667</v>
      </c>
      <c r="B348">
        <v>10008</v>
      </c>
      <c r="C348" t="s">
        <v>690</v>
      </c>
      <c r="D348" t="s">
        <v>20</v>
      </c>
      <c r="E348" t="s">
        <v>11</v>
      </c>
      <c r="F348" t="s">
        <v>12</v>
      </c>
      <c r="G348" t="s">
        <v>13</v>
      </c>
      <c r="H348">
        <v>94398.44</v>
      </c>
      <c r="I348">
        <v>1</v>
      </c>
      <c r="J348" t="str">
        <f t="shared" si="25"/>
        <v>High</v>
      </c>
      <c r="K348" t="str">
        <f t="shared" si="26"/>
        <v>High Risk</v>
      </c>
      <c r="L348">
        <f t="shared" si="27"/>
        <v>1</v>
      </c>
      <c r="M348">
        <f t="shared" si="28"/>
        <v>1</v>
      </c>
      <c r="N348" s="6">
        <f t="shared" si="29"/>
        <v>45685</v>
      </c>
    </row>
    <row r="349" spans="1:14" x14ac:dyDescent="0.3">
      <c r="A349">
        <v>668</v>
      </c>
      <c r="B349">
        <v>10049</v>
      </c>
      <c r="C349" t="s">
        <v>691</v>
      </c>
      <c r="D349" t="s">
        <v>20</v>
      </c>
      <c r="E349" t="s">
        <v>24</v>
      </c>
      <c r="F349" t="s">
        <v>17</v>
      </c>
      <c r="G349" t="s">
        <v>25</v>
      </c>
      <c r="H349">
        <v>76606.320000000007</v>
      </c>
      <c r="I349">
        <v>0</v>
      </c>
      <c r="J349" t="str">
        <f t="shared" si="25"/>
        <v>High</v>
      </c>
      <c r="K349" t="str">
        <f t="shared" si="26"/>
        <v>Normal</v>
      </c>
      <c r="L349">
        <f t="shared" si="27"/>
        <v>1</v>
      </c>
      <c r="M349">
        <f t="shared" si="28"/>
        <v>1</v>
      </c>
      <c r="N349" s="6">
        <f t="shared" si="29"/>
        <v>45685</v>
      </c>
    </row>
    <row r="350" spans="1:14" x14ac:dyDescent="0.3">
      <c r="A350">
        <v>669</v>
      </c>
      <c r="B350">
        <v>10026</v>
      </c>
      <c r="C350" t="s">
        <v>692</v>
      </c>
      <c r="D350" t="s">
        <v>29</v>
      </c>
      <c r="E350" t="s">
        <v>16</v>
      </c>
      <c r="F350" t="s">
        <v>17</v>
      </c>
      <c r="G350" t="s">
        <v>21</v>
      </c>
      <c r="H350">
        <v>639.95000000000005</v>
      </c>
      <c r="I350">
        <v>0</v>
      </c>
      <c r="J350" t="str">
        <f t="shared" si="25"/>
        <v>High</v>
      </c>
      <c r="K350" t="str">
        <f t="shared" si="26"/>
        <v>Normal</v>
      </c>
      <c r="L350">
        <f t="shared" si="27"/>
        <v>1</v>
      </c>
      <c r="M350">
        <f t="shared" si="28"/>
        <v>1</v>
      </c>
      <c r="N350" s="6">
        <f t="shared" si="29"/>
        <v>45685</v>
      </c>
    </row>
    <row r="351" spans="1:14" x14ac:dyDescent="0.3">
      <c r="A351">
        <v>670</v>
      </c>
      <c r="B351">
        <v>10065</v>
      </c>
      <c r="C351" t="s">
        <v>693</v>
      </c>
      <c r="D351" t="s">
        <v>29</v>
      </c>
      <c r="E351" t="s">
        <v>16</v>
      </c>
      <c r="F351" t="s">
        <v>17</v>
      </c>
      <c r="G351" t="s">
        <v>13</v>
      </c>
      <c r="H351">
        <v>234.49</v>
      </c>
      <c r="I351">
        <v>0</v>
      </c>
      <c r="J351" t="str">
        <f t="shared" si="25"/>
        <v>High</v>
      </c>
      <c r="K351" t="str">
        <f t="shared" si="26"/>
        <v>Normal</v>
      </c>
      <c r="L351">
        <f t="shared" si="27"/>
        <v>1</v>
      </c>
      <c r="M351">
        <f t="shared" si="28"/>
        <v>1</v>
      </c>
      <c r="N351" s="6">
        <f t="shared" si="29"/>
        <v>45685</v>
      </c>
    </row>
    <row r="352" spans="1:14" x14ac:dyDescent="0.3">
      <c r="A352">
        <v>671</v>
      </c>
      <c r="B352">
        <v>10004</v>
      </c>
      <c r="C352" t="s">
        <v>694</v>
      </c>
      <c r="D352" t="s">
        <v>20</v>
      </c>
      <c r="E352" t="s">
        <v>16</v>
      </c>
      <c r="F352" t="s">
        <v>17</v>
      </c>
      <c r="G352" t="s">
        <v>13</v>
      </c>
      <c r="H352">
        <v>37872.269999999997</v>
      </c>
      <c r="I352">
        <v>0</v>
      </c>
      <c r="J352" t="str">
        <f t="shared" si="25"/>
        <v>High</v>
      </c>
      <c r="K352" t="str">
        <f t="shared" si="26"/>
        <v>Normal</v>
      </c>
      <c r="L352">
        <f t="shared" si="27"/>
        <v>1</v>
      </c>
      <c r="M352">
        <f t="shared" si="28"/>
        <v>1</v>
      </c>
      <c r="N352" s="6">
        <f t="shared" si="29"/>
        <v>45685</v>
      </c>
    </row>
    <row r="353" spans="1:14" x14ac:dyDescent="0.3">
      <c r="A353">
        <v>672</v>
      </c>
      <c r="B353">
        <v>10028</v>
      </c>
      <c r="C353" t="s">
        <v>695</v>
      </c>
      <c r="D353" t="s">
        <v>20</v>
      </c>
      <c r="E353" t="s">
        <v>24</v>
      </c>
      <c r="F353" t="s">
        <v>12</v>
      </c>
      <c r="G353" t="s">
        <v>25</v>
      </c>
      <c r="H353">
        <v>14425.2</v>
      </c>
      <c r="I353">
        <v>0</v>
      </c>
      <c r="J353" t="str">
        <f t="shared" si="25"/>
        <v>High</v>
      </c>
      <c r="K353" t="str">
        <f t="shared" si="26"/>
        <v>Normal</v>
      </c>
      <c r="L353">
        <f t="shared" si="27"/>
        <v>1</v>
      </c>
      <c r="M353">
        <f t="shared" si="28"/>
        <v>1</v>
      </c>
      <c r="N353" s="6">
        <f t="shared" si="29"/>
        <v>45685</v>
      </c>
    </row>
    <row r="354" spans="1:14" x14ac:dyDescent="0.3">
      <c r="A354">
        <v>625</v>
      </c>
      <c r="B354">
        <v>10008</v>
      </c>
      <c r="C354" t="s">
        <v>648</v>
      </c>
      <c r="D354" t="s">
        <v>23</v>
      </c>
      <c r="E354" t="s">
        <v>11</v>
      </c>
      <c r="F354" t="s">
        <v>12</v>
      </c>
      <c r="G354" t="s">
        <v>13</v>
      </c>
      <c r="H354">
        <v>3590.43</v>
      </c>
      <c r="I354">
        <v>0</v>
      </c>
      <c r="J354" t="str">
        <f t="shared" si="25"/>
        <v>High</v>
      </c>
      <c r="K354" t="str">
        <f t="shared" si="26"/>
        <v>Normal</v>
      </c>
      <c r="L354">
        <f t="shared" si="27"/>
        <v>1</v>
      </c>
      <c r="M354">
        <f t="shared" si="28"/>
        <v>1</v>
      </c>
      <c r="N354" s="6">
        <f t="shared" si="29"/>
        <v>45684</v>
      </c>
    </row>
    <row r="355" spans="1:14" x14ac:dyDescent="0.3">
      <c r="A355">
        <v>626</v>
      </c>
      <c r="B355">
        <v>10070</v>
      </c>
      <c r="C355" t="s">
        <v>649</v>
      </c>
      <c r="D355" t="s">
        <v>23</v>
      </c>
      <c r="E355" t="s">
        <v>24</v>
      </c>
      <c r="F355" t="s">
        <v>12</v>
      </c>
      <c r="G355" t="s">
        <v>18</v>
      </c>
      <c r="H355">
        <v>98976.67</v>
      </c>
      <c r="I355">
        <v>0</v>
      </c>
      <c r="J355" t="str">
        <f t="shared" si="25"/>
        <v>High</v>
      </c>
      <c r="K355" t="str">
        <f t="shared" si="26"/>
        <v>Normal</v>
      </c>
      <c r="L355">
        <f t="shared" si="27"/>
        <v>1</v>
      </c>
      <c r="M355">
        <f t="shared" si="28"/>
        <v>1</v>
      </c>
      <c r="N355" s="6">
        <f t="shared" si="29"/>
        <v>45684</v>
      </c>
    </row>
    <row r="356" spans="1:14" x14ac:dyDescent="0.3">
      <c r="A356">
        <v>627</v>
      </c>
      <c r="B356">
        <v>10027</v>
      </c>
      <c r="C356" t="s">
        <v>650</v>
      </c>
      <c r="D356" t="s">
        <v>15</v>
      </c>
      <c r="E356" t="s">
        <v>24</v>
      </c>
      <c r="F356" t="s">
        <v>17</v>
      </c>
      <c r="G356" t="s">
        <v>21</v>
      </c>
      <c r="H356">
        <v>3099.13</v>
      </c>
      <c r="I356">
        <v>0</v>
      </c>
      <c r="J356" t="str">
        <f t="shared" si="25"/>
        <v>High</v>
      </c>
      <c r="K356" t="str">
        <f t="shared" si="26"/>
        <v>Normal</v>
      </c>
      <c r="L356">
        <f t="shared" si="27"/>
        <v>1</v>
      </c>
      <c r="M356">
        <f t="shared" si="28"/>
        <v>1</v>
      </c>
      <c r="N356" s="6">
        <f t="shared" si="29"/>
        <v>45684</v>
      </c>
    </row>
    <row r="357" spans="1:14" x14ac:dyDescent="0.3">
      <c r="A357">
        <v>628</v>
      </c>
      <c r="B357">
        <v>10077</v>
      </c>
      <c r="C357" t="s">
        <v>651</v>
      </c>
      <c r="D357" t="s">
        <v>29</v>
      </c>
      <c r="E357" t="s">
        <v>11</v>
      </c>
      <c r="F357" t="s">
        <v>17</v>
      </c>
      <c r="G357" t="s">
        <v>31</v>
      </c>
      <c r="H357">
        <v>44508.37</v>
      </c>
      <c r="I357">
        <v>0</v>
      </c>
      <c r="J357" t="str">
        <f t="shared" si="25"/>
        <v>High</v>
      </c>
      <c r="K357" t="str">
        <f t="shared" si="26"/>
        <v>Normal</v>
      </c>
      <c r="L357">
        <f t="shared" si="27"/>
        <v>1</v>
      </c>
      <c r="M357">
        <f t="shared" si="28"/>
        <v>1</v>
      </c>
      <c r="N357" s="6">
        <f t="shared" si="29"/>
        <v>45684</v>
      </c>
    </row>
    <row r="358" spans="1:14" x14ac:dyDescent="0.3">
      <c r="A358">
        <v>629</v>
      </c>
      <c r="B358">
        <v>10094</v>
      </c>
      <c r="C358" t="s">
        <v>652</v>
      </c>
      <c r="D358" t="s">
        <v>23</v>
      </c>
      <c r="E358" t="s">
        <v>11</v>
      </c>
      <c r="F358" t="s">
        <v>17</v>
      </c>
      <c r="G358" t="s">
        <v>31</v>
      </c>
      <c r="H358">
        <v>50511.44</v>
      </c>
      <c r="I358">
        <v>1</v>
      </c>
      <c r="J358" t="str">
        <f t="shared" si="25"/>
        <v>High</v>
      </c>
      <c r="K358" t="str">
        <f t="shared" si="26"/>
        <v>High Risk</v>
      </c>
      <c r="L358">
        <f t="shared" si="27"/>
        <v>1</v>
      </c>
      <c r="M358">
        <f t="shared" si="28"/>
        <v>1</v>
      </c>
      <c r="N358" s="6">
        <f t="shared" si="29"/>
        <v>45684</v>
      </c>
    </row>
    <row r="359" spans="1:14" x14ac:dyDescent="0.3">
      <c r="A359">
        <v>630</v>
      </c>
      <c r="B359">
        <v>10051</v>
      </c>
      <c r="C359" t="s">
        <v>653</v>
      </c>
      <c r="D359" t="s">
        <v>29</v>
      </c>
      <c r="E359" t="s">
        <v>16</v>
      </c>
      <c r="F359" t="s">
        <v>17</v>
      </c>
      <c r="G359" t="s">
        <v>18</v>
      </c>
      <c r="H359">
        <v>11816.29</v>
      </c>
      <c r="I359">
        <v>0</v>
      </c>
      <c r="J359" t="str">
        <f t="shared" si="25"/>
        <v>High</v>
      </c>
      <c r="K359" t="str">
        <f t="shared" si="26"/>
        <v>Normal</v>
      </c>
      <c r="L359">
        <f t="shared" si="27"/>
        <v>1</v>
      </c>
      <c r="M359">
        <f t="shared" si="28"/>
        <v>1</v>
      </c>
      <c r="N359" s="6">
        <f t="shared" si="29"/>
        <v>45684</v>
      </c>
    </row>
    <row r="360" spans="1:14" x14ac:dyDescent="0.3">
      <c r="A360">
        <v>631</v>
      </c>
      <c r="B360">
        <v>10082</v>
      </c>
      <c r="C360" t="s">
        <v>654</v>
      </c>
      <c r="D360" t="s">
        <v>15</v>
      </c>
      <c r="E360" t="s">
        <v>16</v>
      </c>
      <c r="F360" t="s">
        <v>17</v>
      </c>
      <c r="G360" t="s">
        <v>13</v>
      </c>
      <c r="H360">
        <v>16989.27</v>
      </c>
      <c r="I360">
        <v>0</v>
      </c>
      <c r="J360" t="str">
        <f t="shared" si="25"/>
        <v>High</v>
      </c>
      <c r="K360" t="str">
        <f t="shared" si="26"/>
        <v>Normal</v>
      </c>
      <c r="L360">
        <f t="shared" si="27"/>
        <v>1</v>
      </c>
      <c r="M360">
        <f t="shared" si="28"/>
        <v>1</v>
      </c>
      <c r="N360" s="6">
        <f t="shared" si="29"/>
        <v>45684</v>
      </c>
    </row>
    <row r="361" spans="1:14" x14ac:dyDescent="0.3">
      <c r="A361">
        <v>632</v>
      </c>
      <c r="B361">
        <v>10015</v>
      </c>
      <c r="C361" t="s">
        <v>655</v>
      </c>
      <c r="D361" t="s">
        <v>29</v>
      </c>
      <c r="E361" t="s">
        <v>24</v>
      </c>
      <c r="F361" t="s">
        <v>12</v>
      </c>
      <c r="G361" t="s">
        <v>21</v>
      </c>
      <c r="H361">
        <v>35245.32</v>
      </c>
      <c r="I361">
        <v>0</v>
      </c>
      <c r="J361" t="str">
        <f t="shared" si="25"/>
        <v>High</v>
      </c>
      <c r="K361" t="str">
        <f t="shared" si="26"/>
        <v>Normal</v>
      </c>
      <c r="L361">
        <f t="shared" si="27"/>
        <v>1</v>
      </c>
      <c r="M361">
        <f t="shared" si="28"/>
        <v>1</v>
      </c>
      <c r="N361" s="6">
        <f t="shared" si="29"/>
        <v>45684</v>
      </c>
    </row>
    <row r="362" spans="1:14" x14ac:dyDescent="0.3">
      <c r="A362">
        <v>633</v>
      </c>
      <c r="B362">
        <v>10068</v>
      </c>
      <c r="C362" t="s">
        <v>656</v>
      </c>
      <c r="D362" t="s">
        <v>10</v>
      </c>
      <c r="E362" t="s">
        <v>16</v>
      </c>
      <c r="F362" t="s">
        <v>17</v>
      </c>
      <c r="G362" t="s">
        <v>13</v>
      </c>
      <c r="H362">
        <v>76191.42</v>
      </c>
      <c r="I362">
        <v>0</v>
      </c>
      <c r="J362" t="str">
        <f t="shared" si="25"/>
        <v>High</v>
      </c>
      <c r="K362" t="str">
        <f t="shared" si="26"/>
        <v>Normal</v>
      </c>
      <c r="L362">
        <f t="shared" si="27"/>
        <v>1</v>
      </c>
      <c r="M362">
        <f t="shared" si="28"/>
        <v>1</v>
      </c>
      <c r="N362" s="6">
        <f t="shared" si="29"/>
        <v>45684</v>
      </c>
    </row>
    <row r="363" spans="1:14" x14ac:dyDescent="0.3">
      <c r="A363">
        <v>634</v>
      </c>
      <c r="B363">
        <v>10098</v>
      </c>
      <c r="C363" t="s">
        <v>657</v>
      </c>
      <c r="D363" t="s">
        <v>20</v>
      </c>
      <c r="E363" t="s">
        <v>16</v>
      </c>
      <c r="F363" t="s">
        <v>12</v>
      </c>
      <c r="G363" t="s">
        <v>25</v>
      </c>
      <c r="H363">
        <v>50757.53</v>
      </c>
      <c r="I363">
        <v>0</v>
      </c>
      <c r="J363" t="str">
        <f t="shared" si="25"/>
        <v>High</v>
      </c>
      <c r="K363" t="str">
        <f t="shared" si="26"/>
        <v>Normal</v>
      </c>
      <c r="L363">
        <f t="shared" si="27"/>
        <v>1</v>
      </c>
      <c r="M363">
        <f t="shared" si="28"/>
        <v>1</v>
      </c>
      <c r="N363" s="6">
        <f t="shared" si="29"/>
        <v>45684</v>
      </c>
    </row>
    <row r="364" spans="1:14" x14ac:dyDescent="0.3">
      <c r="A364">
        <v>635</v>
      </c>
      <c r="B364">
        <v>10011</v>
      </c>
      <c r="C364" t="s">
        <v>658</v>
      </c>
      <c r="D364" t="s">
        <v>23</v>
      </c>
      <c r="E364" t="s">
        <v>16</v>
      </c>
      <c r="F364" t="s">
        <v>17</v>
      </c>
      <c r="G364" t="s">
        <v>13</v>
      </c>
      <c r="H364">
        <v>63826.400000000001</v>
      </c>
      <c r="I364">
        <v>0</v>
      </c>
      <c r="J364" t="str">
        <f t="shared" si="25"/>
        <v>High</v>
      </c>
      <c r="K364" t="str">
        <f t="shared" si="26"/>
        <v>Normal</v>
      </c>
      <c r="L364">
        <f t="shared" si="27"/>
        <v>1</v>
      </c>
      <c r="M364">
        <f t="shared" si="28"/>
        <v>1</v>
      </c>
      <c r="N364" s="6">
        <f t="shared" si="29"/>
        <v>45684</v>
      </c>
    </row>
    <row r="365" spans="1:14" x14ac:dyDescent="0.3">
      <c r="A365">
        <v>636</v>
      </c>
      <c r="B365">
        <v>10024</v>
      </c>
      <c r="C365" t="s">
        <v>659</v>
      </c>
      <c r="D365" t="s">
        <v>20</v>
      </c>
      <c r="E365" t="s">
        <v>16</v>
      </c>
      <c r="F365" t="s">
        <v>17</v>
      </c>
      <c r="G365" t="s">
        <v>31</v>
      </c>
      <c r="H365">
        <v>98518.94</v>
      </c>
      <c r="I365">
        <v>0</v>
      </c>
      <c r="J365" t="str">
        <f t="shared" si="25"/>
        <v>High</v>
      </c>
      <c r="K365" t="str">
        <f t="shared" si="26"/>
        <v>Normal</v>
      </c>
      <c r="L365">
        <f t="shared" si="27"/>
        <v>1</v>
      </c>
      <c r="M365">
        <f t="shared" si="28"/>
        <v>1</v>
      </c>
      <c r="N365" s="6">
        <f t="shared" si="29"/>
        <v>45684</v>
      </c>
    </row>
    <row r="366" spans="1:14" x14ac:dyDescent="0.3">
      <c r="A366">
        <v>637</v>
      </c>
      <c r="B366">
        <v>10051</v>
      </c>
      <c r="C366" t="s">
        <v>660</v>
      </c>
      <c r="D366" t="s">
        <v>29</v>
      </c>
      <c r="E366" t="s">
        <v>11</v>
      </c>
      <c r="F366" t="s">
        <v>17</v>
      </c>
      <c r="G366" t="s">
        <v>21</v>
      </c>
      <c r="H366">
        <v>76823.740000000005</v>
      </c>
      <c r="I366">
        <v>1</v>
      </c>
      <c r="J366" t="str">
        <f t="shared" si="25"/>
        <v>High</v>
      </c>
      <c r="K366" t="str">
        <f t="shared" si="26"/>
        <v>High Risk</v>
      </c>
      <c r="L366">
        <f t="shared" si="27"/>
        <v>1</v>
      </c>
      <c r="M366">
        <f t="shared" si="28"/>
        <v>1</v>
      </c>
      <c r="N366" s="6">
        <f t="shared" si="29"/>
        <v>45684</v>
      </c>
    </row>
    <row r="367" spans="1:14" x14ac:dyDescent="0.3">
      <c r="A367">
        <v>638</v>
      </c>
      <c r="B367">
        <v>10084</v>
      </c>
      <c r="C367" t="s">
        <v>661</v>
      </c>
      <c r="D367" t="s">
        <v>23</v>
      </c>
      <c r="E367" t="s">
        <v>24</v>
      </c>
      <c r="F367" t="s">
        <v>17</v>
      </c>
      <c r="G367" t="s">
        <v>13</v>
      </c>
      <c r="H367">
        <v>43492.71</v>
      </c>
      <c r="I367">
        <v>0</v>
      </c>
      <c r="J367" t="str">
        <f t="shared" si="25"/>
        <v>High</v>
      </c>
      <c r="K367" t="str">
        <f t="shared" si="26"/>
        <v>Normal</v>
      </c>
      <c r="L367">
        <f t="shared" si="27"/>
        <v>1</v>
      </c>
      <c r="M367">
        <f t="shared" si="28"/>
        <v>1</v>
      </c>
      <c r="N367" s="6">
        <f t="shared" si="29"/>
        <v>45684</v>
      </c>
    </row>
    <row r="368" spans="1:14" x14ac:dyDescent="0.3">
      <c r="A368">
        <v>639</v>
      </c>
      <c r="B368">
        <v>10099</v>
      </c>
      <c r="C368" t="s">
        <v>662</v>
      </c>
      <c r="D368" t="s">
        <v>29</v>
      </c>
      <c r="E368" t="s">
        <v>16</v>
      </c>
      <c r="F368" t="s">
        <v>17</v>
      </c>
      <c r="G368" t="s">
        <v>21</v>
      </c>
      <c r="H368">
        <v>44699.55</v>
      </c>
      <c r="I368">
        <v>0</v>
      </c>
      <c r="J368" t="str">
        <f t="shared" si="25"/>
        <v>High</v>
      </c>
      <c r="K368" t="str">
        <f t="shared" si="26"/>
        <v>Normal</v>
      </c>
      <c r="L368">
        <f t="shared" si="27"/>
        <v>1</v>
      </c>
      <c r="M368">
        <f t="shared" si="28"/>
        <v>1</v>
      </c>
      <c r="N368" s="6">
        <f t="shared" si="29"/>
        <v>45684</v>
      </c>
    </row>
    <row r="369" spans="1:14" x14ac:dyDescent="0.3">
      <c r="A369">
        <v>640</v>
      </c>
      <c r="B369">
        <v>10052</v>
      </c>
      <c r="C369" t="s">
        <v>663</v>
      </c>
      <c r="D369" t="s">
        <v>10</v>
      </c>
      <c r="E369" t="s">
        <v>11</v>
      </c>
      <c r="F369" t="s">
        <v>12</v>
      </c>
      <c r="G369" t="s">
        <v>21</v>
      </c>
      <c r="H369">
        <v>61915.33</v>
      </c>
      <c r="I369">
        <v>1</v>
      </c>
      <c r="J369" t="str">
        <f t="shared" si="25"/>
        <v>High</v>
      </c>
      <c r="K369" t="str">
        <f t="shared" si="26"/>
        <v>High Risk</v>
      </c>
      <c r="L369">
        <f t="shared" si="27"/>
        <v>1</v>
      </c>
      <c r="M369">
        <f t="shared" si="28"/>
        <v>1</v>
      </c>
      <c r="N369" s="6">
        <f t="shared" si="29"/>
        <v>45684</v>
      </c>
    </row>
    <row r="370" spans="1:14" x14ac:dyDescent="0.3">
      <c r="A370">
        <v>641</v>
      </c>
      <c r="B370">
        <v>10022</v>
      </c>
      <c r="C370" t="s">
        <v>664</v>
      </c>
      <c r="D370" t="s">
        <v>15</v>
      </c>
      <c r="E370" t="s">
        <v>11</v>
      </c>
      <c r="F370" t="s">
        <v>12</v>
      </c>
      <c r="G370" t="s">
        <v>25</v>
      </c>
      <c r="H370">
        <v>66569.98</v>
      </c>
      <c r="I370">
        <v>1</v>
      </c>
      <c r="J370" t="str">
        <f t="shared" si="25"/>
        <v>High</v>
      </c>
      <c r="K370" t="str">
        <f t="shared" si="26"/>
        <v>High Risk</v>
      </c>
      <c r="L370">
        <f t="shared" si="27"/>
        <v>1</v>
      </c>
      <c r="M370">
        <f t="shared" si="28"/>
        <v>1</v>
      </c>
      <c r="N370" s="6">
        <f t="shared" si="29"/>
        <v>45684</v>
      </c>
    </row>
    <row r="371" spans="1:14" x14ac:dyDescent="0.3">
      <c r="A371">
        <v>642</v>
      </c>
      <c r="B371">
        <v>10015</v>
      </c>
      <c r="C371" t="s">
        <v>665</v>
      </c>
      <c r="D371" t="s">
        <v>23</v>
      </c>
      <c r="E371" t="s">
        <v>11</v>
      </c>
      <c r="F371" t="s">
        <v>12</v>
      </c>
      <c r="G371" t="s">
        <v>25</v>
      </c>
      <c r="H371">
        <v>50121.02</v>
      </c>
      <c r="I371">
        <v>1</v>
      </c>
      <c r="J371" t="str">
        <f t="shared" si="25"/>
        <v>High</v>
      </c>
      <c r="K371" t="str">
        <f t="shared" si="26"/>
        <v>High Risk</v>
      </c>
      <c r="L371">
        <f t="shared" si="27"/>
        <v>1</v>
      </c>
      <c r="M371">
        <f t="shared" si="28"/>
        <v>1</v>
      </c>
      <c r="N371" s="6">
        <f t="shared" si="29"/>
        <v>45684</v>
      </c>
    </row>
    <row r="372" spans="1:14" x14ac:dyDescent="0.3">
      <c r="A372">
        <v>643</v>
      </c>
      <c r="B372">
        <v>10056</v>
      </c>
      <c r="C372" t="s">
        <v>666</v>
      </c>
      <c r="D372" t="s">
        <v>10</v>
      </c>
      <c r="E372" t="s">
        <v>16</v>
      </c>
      <c r="F372" t="s">
        <v>17</v>
      </c>
      <c r="G372" t="s">
        <v>31</v>
      </c>
      <c r="H372">
        <v>64521.64</v>
      </c>
      <c r="I372">
        <v>0</v>
      </c>
      <c r="J372" t="str">
        <f t="shared" si="25"/>
        <v>High</v>
      </c>
      <c r="K372" t="str">
        <f t="shared" si="26"/>
        <v>Normal</v>
      </c>
      <c r="L372">
        <f t="shared" si="27"/>
        <v>1</v>
      </c>
      <c r="M372">
        <f t="shared" si="28"/>
        <v>1</v>
      </c>
      <c r="N372" s="6">
        <f t="shared" si="29"/>
        <v>45684</v>
      </c>
    </row>
    <row r="373" spans="1:14" x14ac:dyDescent="0.3">
      <c r="A373">
        <v>644</v>
      </c>
      <c r="B373">
        <v>10038</v>
      </c>
      <c r="C373" t="s">
        <v>667</v>
      </c>
      <c r="D373" t="s">
        <v>10</v>
      </c>
      <c r="E373" t="s">
        <v>16</v>
      </c>
      <c r="F373" t="s">
        <v>17</v>
      </c>
      <c r="G373" t="s">
        <v>18</v>
      </c>
      <c r="H373">
        <v>2450.9</v>
      </c>
      <c r="I373">
        <v>0</v>
      </c>
      <c r="J373" t="str">
        <f t="shared" si="25"/>
        <v>High</v>
      </c>
      <c r="K373" t="str">
        <f t="shared" si="26"/>
        <v>Normal</v>
      </c>
      <c r="L373">
        <f t="shared" si="27"/>
        <v>1</v>
      </c>
      <c r="M373">
        <f t="shared" si="28"/>
        <v>1</v>
      </c>
      <c r="N373" s="6">
        <f t="shared" si="29"/>
        <v>45684</v>
      </c>
    </row>
    <row r="374" spans="1:14" x14ac:dyDescent="0.3">
      <c r="A374">
        <v>645</v>
      </c>
      <c r="B374">
        <v>10052</v>
      </c>
      <c r="C374" t="s">
        <v>668</v>
      </c>
      <c r="D374" t="s">
        <v>23</v>
      </c>
      <c r="E374" t="s">
        <v>24</v>
      </c>
      <c r="F374" t="s">
        <v>12</v>
      </c>
      <c r="G374" t="s">
        <v>21</v>
      </c>
      <c r="H374">
        <v>43019.32</v>
      </c>
      <c r="I374">
        <v>0</v>
      </c>
      <c r="J374" t="str">
        <f t="shared" si="25"/>
        <v>High</v>
      </c>
      <c r="K374" t="str">
        <f t="shared" si="26"/>
        <v>Normal</v>
      </c>
      <c r="L374">
        <f t="shared" si="27"/>
        <v>1</v>
      </c>
      <c r="M374">
        <f t="shared" si="28"/>
        <v>1</v>
      </c>
      <c r="N374" s="6">
        <f t="shared" si="29"/>
        <v>45684</v>
      </c>
    </row>
    <row r="375" spans="1:14" x14ac:dyDescent="0.3">
      <c r="A375">
        <v>646</v>
      </c>
      <c r="B375">
        <v>10041</v>
      </c>
      <c r="C375" t="s">
        <v>669</v>
      </c>
      <c r="D375" t="s">
        <v>29</v>
      </c>
      <c r="E375" t="s">
        <v>16</v>
      </c>
      <c r="F375" t="s">
        <v>17</v>
      </c>
      <c r="G375" t="s">
        <v>18</v>
      </c>
      <c r="H375">
        <v>27965.91</v>
      </c>
      <c r="I375">
        <v>0</v>
      </c>
      <c r="J375" t="str">
        <f t="shared" si="25"/>
        <v>High</v>
      </c>
      <c r="K375" t="str">
        <f t="shared" si="26"/>
        <v>Normal</v>
      </c>
      <c r="L375">
        <f t="shared" si="27"/>
        <v>1</v>
      </c>
      <c r="M375">
        <f t="shared" si="28"/>
        <v>1</v>
      </c>
      <c r="N375" s="6">
        <f t="shared" si="29"/>
        <v>45684</v>
      </c>
    </row>
    <row r="376" spans="1:14" x14ac:dyDescent="0.3">
      <c r="A376">
        <v>647</v>
      </c>
      <c r="B376">
        <v>10057</v>
      </c>
      <c r="C376" t="s">
        <v>670</v>
      </c>
      <c r="D376" t="s">
        <v>10</v>
      </c>
      <c r="E376" t="s">
        <v>16</v>
      </c>
      <c r="F376" t="s">
        <v>17</v>
      </c>
      <c r="G376" t="s">
        <v>31</v>
      </c>
      <c r="H376">
        <v>13004.53</v>
      </c>
      <c r="I376">
        <v>0</v>
      </c>
      <c r="J376" t="str">
        <f t="shared" si="25"/>
        <v>High</v>
      </c>
      <c r="K376" t="str">
        <f t="shared" si="26"/>
        <v>Normal</v>
      </c>
      <c r="L376">
        <f t="shared" si="27"/>
        <v>1</v>
      </c>
      <c r="M376">
        <f t="shared" si="28"/>
        <v>1</v>
      </c>
      <c r="N376" s="6">
        <f t="shared" si="29"/>
        <v>45684</v>
      </c>
    </row>
    <row r="377" spans="1:14" x14ac:dyDescent="0.3">
      <c r="A377">
        <v>648</v>
      </c>
      <c r="B377">
        <v>10038</v>
      </c>
      <c r="C377" t="s">
        <v>671</v>
      </c>
      <c r="D377" t="s">
        <v>20</v>
      </c>
      <c r="E377" t="s">
        <v>11</v>
      </c>
      <c r="F377" t="s">
        <v>12</v>
      </c>
      <c r="G377" t="s">
        <v>21</v>
      </c>
      <c r="H377">
        <v>10044.700000000001</v>
      </c>
      <c r="I377">
        <v>0</v>
      </c>
      <c r="J377" t="str">
        <f t="shared" si="25"/>
        <v>High</v>
      </c>
      <c r="K377" t="str">
        <f t="shared" si="26"/>
        <v>Normal</v>
      </c>
      <c r="L377">
        <f t="shared" si="27"/>
        <v>1</v>
      </c>
      <c r="M377">
        <f t="shared" si="28"/>
        <v>1</v>
      </c>
      <c r="N377" s="6">
        <f t="shared" si="29"/>
        <v>45684</v>
      </c>
    </row>
    <row r="378" spans="1:14" x14ac:dyDescent="0.3">
      <c r="A378">
        <v>601</v>
      </c>
      <c r="B378">
        <v>10061</v>
      </c>
      <c r="C378" t="s">
        <v>624</v>
      </c>
      <c r="D378" t="s">
        <v>29</v>
      </c>
      <c r="E378" t="s">
        <v>24</v>
      </c>
      <c r="F378" t="s">
        <v>12</v>
      </c>
      <c r="G378" t="s">
        <v>21</v>
      </c>
      <c r="H378">
        <v>40830.81</v>
      </c>
      <c r="I378">
        <v>0</v>
      </c>
      <c r="J378" t="str">
        <f t="shared" si="25"/>
        <v>High</v>
      </c>
      <c r="K378" t="str">
        <f t="shared" si="26"/>
        <v>Normal</v>
      </c>
      <c r="L378">
        <f t="shared" si="27"/>
        <v>1</v>
      </c>
      <c r="M378">
        <f t="shared" si="28"/>
        <v>1</v>
      </c>
      <c r="N378" s="6">
        <f t="shared" si="29"/>
        <v>45683</v>
      </c>
    </row>
    <row r="379" spans="1:14" x14ac:dyDescent="0.3">
      <c r="A379">
        <v>602</v>
      </c>
      <c r="B379">
        <v>10095</v>
      </c>
      <c r="C379" t="s">
        <v>625</v>
      </c>
      <c r="D379" t="s">
        <v>10</v>
      </c>
      <c r="E379" t="s">
        <v>24</v>
      </c>
      <c r="F379" t="s">
        <v>17</v>
      </c>
      <c r="G379" t="s">
        <v>18</v>
      </c>
      <c r="H379">
        <v>12644</v>
      </c>
      <c r="I379">
        <v>0</v>
      </c>
      <c r="J379" t="str">
        <f t="shared" si="25"/>
        <v>High</v>
      </c>
      <c r="K379" t="str">
        <f t="shared" si="26"/>
        <v>Normal</v>
      </c>
      <c r="L379">
        <f t="shared" si="27"/>
        <v>1</v>
      </c>
      <c r="M379">
        <f t="shared" si="28"/>
        <v>1</v>
      </c>
      <c r="N379" s="6">
        <f t="shared" si="29"/>
        <v>45683</v>
      </c>
    </row>
    <row r="380" spans="1:14" x14ac:dyDescent="0.3">
      <c r="A380">
        <v>603</v>
      </c>
      <c r="B380">
        <v>10036</v>
      </c>
      <c r="C380" t="s">
        <v>626</v>
      </c>
      <c r="D380" t="s">
        <v>10</v>
      </c>
      <c r="E380" t="s">
        <v>16</v>
      </c>
      <c r="F380" t="s">
        <v>17</v>
      </c>
      <c r="G380" t="s">
        <v>31</v>
      </c>
      <c r="H380">
        <v>17212.37</v>
      </c>
      <c r="I380">
        <v>0</v>
      </c>
      <c r="J380" t="str">
        <f t="shared" si="25"/>
        <v>High</v>
      </c>
      <c r="K380" t="str">
        <f t="shared" si="26"/>
        <v>Normal</v>
      </c>
      <c r="L380">
        <f t="shared" si="27"/>
        <v>1</v>
      </c>
      <c r="M380">
        <f t="shared" si="28"/>
        <v>1</v>
      </c>
      <c r="N380" s="6">
        <f t="shared" si="29"/>
        <v>45683</v>
      </c>
    </row>
    <row r="381" spans="1:14" x14ac:dyDescent="0.3">
      <c r="A381">
        <v>604</v>
      </c>
      <c r="B381">
        <v>10011</v>
      </c>
      <c r="C381" t="s">
        <v>627</v>
      </c>
      <c r="D381" t="s">
        <v>29</v>
      </c>
      <c r="E381" t="s">
        <v>16</v>
      </c>
      <c r="F381" t="s">
        <v>12</v>
      </c>
      <c r="G381" t="s">
        <v>21</v>
      </c>
      <c r="H381">
        <v>82752.92</v>
      </c>
      <c r="I381">
        <v>0</v>
      </c>
      <c r="J381" t="str">
        <f t="shared" si="25"/>
        <v>High</v>
      </c>
      <c r="K381" t="str">
        <f t="shared" si="26"/>
        <v>Normal</v>
      </c>
      <c r="L381">
        <f t="shared" si="27"/>
        <v>1</v>
      </c>
      <c r="M381">
        <f t="shared" si="28"/>
        <v>1</v>
      </c>
      <c r="N381" s="6">
        <f t="shared" si="29"/>
        <v>45683</v>
      </c>
    </row>
    <row r="382" spans="1:14" x14ac:dyDescent="0.3">
      <c r="A382">
        <v>605</v>
      </c>
      <c r="B382">
        <v>10054</v>
      </c>
      <c r="C382" t="s">
        <v>628</v>
      </c>
      <c r="D382" t="s">
        <v>20</v>
      </c>
      <c r="E382" t="s">
        <v>11</v>
      </c>
      <c r="F382" t="s">
        <v>12</v>
      </c>
      <c r="G382" t="s">
        <v>21</v>
      </c>
      <c r="H382">
        <v>58525.38</v>
      </c>
      <c r="I382">
        <v>1</v>
      </c>
      <c r="J382" t="str">
        <f t="shared" si="25"/>
        <v>High</v>
      </c>
      <c r="K382" t="str">
        <f t="shared" si="26"/>
        <v>High Risk</v>
      </c>
      <c r="L382">
        <f t="shared" si="27"/>
        <v>1</v>
      </c>
      <c r="M382">
        <f t="shared" si="28"/>
        <v>1</v>
      </c>
      <c r="N382" s="6">
        <f t="shared" si="29"/>
        <v>45683</v>
      </c>
    </row>
    <row r="383" spans="1:14" x14ac:dyDescent="0.3">
      <c r="A383">
        <v>606</v>
      </c>
      <c r="B383">
        <v>10012</v>
      </c>
      <c r="C383" t="s">
        <v>629</v>
      </c>
      <c r="D383" t="s">
        <v>29</v>
      </c>
      <c r="E383" t="s">
        <v>11</v>
      </c>
      <c r="F383" t="s">
        <v>17</v>
      </c>
      <c r="G383" t="s">
        <v>18</v>
      </c>
      <c r="H383">
        <v>33819.49</v>
      </c>
      <c r="I383">
        <v>0</v>
      </c>
      <c r="J383" t="str">
        <f t="shared" si="25"/>
        <v>High</v>
      </c>
      <c r="K383" t="str">
        <f t="shared" si="26"/>
        <v>Normal</v>
      </c>
      <c r="L383">
        <f t="shared" si="27"/>
        <v>1</v>
      </c>
      <c r="M383">
        <f t="shared" si="28"/>
        <v>1</v>
      </c>
      <c r="N383" s="6">
        <f t="shared" si="29"/>
        <v>45683</v>
      </c>
    </row>
    <row r="384" spans="1:14" x14ac:dyDescent="0.3">
      <c r="A384">
        <v>607</v>
      </c>
      <c r="B384">
        <v>10022</v>
      </c>
      <c r="C384" t="s">
        <v>630</v>
      </c>
      <c r="D384" t="s">
        <v>20</v>
      </c>
      <c r="E384" t="s">
        <v>16</v>
      </c>
      <c r="F384" t="s">
        <v>17</v>
      </c>
      <c r="G384" t="s">
        <v>31</v>
      </c>
      <c r="H384">
        <v>80304.84</v>
      </c>
      <c r="I384">
        <v>0</v>
      </c>
      <c r="J384" t="str">
        <f t="shared" si="25"/>
        <v>High</v>
      </c>
      <c r="K384" t="str">
        <f t="shared" si="26"/>
        <v>Normal</v>
      </c>
      <c r="L384">
        <f t="shared" si="27"/>
        <v>1</v>
      </c>
      <c r="M384">
        <f t="shared" si="28"/>
        <v>1</v>
      </c>
      <c r="N384" s="6">
        <f t="shared" si="29"/>
        <v>45683</v>
      </c>
    </row>
    <row r="385" spans="1:14" x14ac:dyDescent="0.3">
      <c r="A385">
        <v>608</v>
      </c>
      <c r="B385">
        <v>10088</v>
      </c>
      <c r="C385" t="s">
        <v>631</v>
      </c>
      <c r="D385" t="s">
        <v>29</v>
      </c>
      <c r="E385" t="s">
        <v>24</v>
      </c>
      <c r="F385" t="s">
        <v>17</v>
      </c>
      <c r="G385" t="s">
        <v>21</v>
      </c>
      <c r="H385">
        <v>24727.34</v>
      </c>
      <c r="I385">
        <v>0</v>
      </c>
      <c r="J385" t="str">
        <f t="shared" si="25"/>
        <v>High</v>
      </c>
      <c r="K385" t="str">
        <f t="shared" si="26"/>
        <v>Normal</v>
      </c>
      <c r="L385">
        <f t="shared" si="27"/>
        <v>1</v>
      </c>
      <c r="M385">
        <f t="shared" si="28"/>
        <v>1</v>
      </c>
      <c r="N385" s="6">
        <f t="shared" si="29"/>
        <v>45683</v>
      </c>
    </row>
    <row r="386" spans="1:14" x14ac:dyDescent="0.3">
      <c r="A386">
        <v>609</v>
      </c>
      <c r="B386">
        <v>10098</v>
      </c>
      <c r="C386" t="s">
        <v>632</v>
      </c>
      <c r="D386" t="s">
        <v>29</v>
      </c>
      <c r="E386" t="s">
        <v>11</v>
      </c>
      <c r="F386" t="s">
        <v>12</v>
      </c>
      <c r="G386" t="s">
        <v>21</v>
      </c>
      <c r="H386">
        <v>97605.67</v>
      </c>
      <c r="I386">
        <v>1</v>
      </c>
      <c r="J386" t="str">
        <f t="shared" ref="J386:J449" si="30">IF(E386&gt;50000,"High","Normal")</f>
        <v>High</v>
      </c>
      <c r="K386" t="str">
        <f t="shared" ref="K386:K449" si="31">IF(AND(H386&gt;50000,E386="Online"),"High Risk","Normal")</f>
        <v>High Risk</v>
      </c>
      <c r="L386">
        <f t="shared" ref="L386:L449" si="32">COUNTIFS(C:C,C386,B:B,B386)</f>
        <v>1</v>
      </c>
      <c r="M386">
        <f t="shared" ref="M386:M449" si="33">IF(E386&gt;50000,1,0) + IF(H386="Unusual",1,0) + IF(I386&gt;3,1,0)</f>
        <v>1</v>
      </c>
      <c r="N386" s="6">
        <f t="shared" ref="N386:N449" si="34">INT(C386)</f>
        <v>45683</v>
      </c>
    </row>
    <row r="387" spans="1:14" x14ac:dyDescent="0.3">
      <c r="A387">
        <v>610</v>
      </c>
      <c r="B387">
        <v>10029</v>
      </c>
      <c r="C387" t="s">
        <v>633</v>
      </c>
      <c r="D387" t="s">
        <v>15</v>
      </c>
      <c r="E387" t="s">
        <v>11</v>
      </c>
      <c r="F387" t="s">
        <v>12</v>
      </c>
      <c r="G387" t="s">
        <v>31</v>
      </c>
      <c r="H387">
        <v>34547.279999999999</v>
      </c>
      <c r="I387">
        <v>0</v>
      </c>
      <c r="J387" t="str">
        <f t="shared" si="30"/>
        <v>High</v>
      </c>
      <c r="K387" t="str">
        <f t="shared" si="31"/>
        <v>Normal</v>
      </c>
      <c r="L387">
        <f t="shared" si="32"/>
        <v>1</v>
      </c>
      <c r="M387">
        <f t="shared" si="33"/>
        <v>1</v>
      </c>
      <c r="N387" s="6">
        <f t="shared" si="34"/>
        <v>45683</v>
      </c>
    </row>
    <row r="388" spans="1:14" x14ac:dyDescent="0.3">
      <c r="A388">
        <v>611</v>
      </c>
      <c r="B388">
        <v>10016</v>
      </c>
      <c r="C388" t="s">
        <v>634</v>
      </c>
      <c r="D388" t="s">
        <v>10</v>
      </c>
      <c r="E388" t="s">
        <v>24</v>
      </c>
      <c r="F388" t="s">
        <v>12</v>
      </c>
      <c r="G388" t="s">
        <v>13</v>
      </c>
      <c r="H388">
        <v>33797.360000000001</v>
      </c>
      <c r="I388">
        <v>0</v>
      </c>
      <c r="J388" t="str">
        <f t="shared" si="30"/>
        <v>High</v>
      </c>
      <c r="K388" t="str">
        <f t="shared" si="31"/>
        <v>Normal</v>
      </c>
      <c r="L388">
        <f t="shared" si="32"/>
        <v>1</v>
      </c>
      <c r="M388">
        <f t="shared" si="33"/>
        <v>1</v>
      </c>
      <c r="N388" s="6">
        <f t="shared" si="34"/>
        <v>45683</v>
      </c>
    </row>
    <row r="389" spans="1:14" x14ac:dyDescent="0.3">
      <c r="A389">
        <v>612</v>
      </c>
      <c r="B389">
        <v>10061</v>
      </c>
      <c r="C389" t="s">
        <v>635</v>
      </c>
      <c r="D389" t="s">
        <v>29</v>
      </c>
      <c r="E389" t="s">
        <v>11</v>
      </c>
      <c r="F389" t="s">
        <v>12</v>
      </c>
      <c r="G389" t="s">
        <v>21</v>
      </c>
      <c r="H389">
        <v>31260</v>
      </c>
      <c r="I389">
        <v>0</v>
      </c>
      <c r="J389" t="str">
        <f t="shared" si="30"/>
        <v>High</v>
      </c>
      <c r="K389" t="str">
        <f t="shared" si="31"/>
        <v>Normal</v>
      </c>
      <c r="L389">
        <f t="shared" si="32"/>
        <v>1</v>
      </c>
      <c r="M389">
        <f t="shared" si="33"/>
        <v>1</v>
      </c>
      <c r="N389" s="6">
        <f t="shared" si="34"/>
        <v>45683</v>
      </c>
    </row>
    <row r="390" spans="1:14" x14ac:dyDescent="0.3">
      <c r="A390">
        <v>613</v>
      </c>
      <c r="B390">
        <v>10083</v>
      </c>
      <c r="C390" t="s">
        <v>636</v>
      </c>
      <c r="D390" t="s">
        <v>29</v>
      </c>
      <c r="E390" t="s">
        <v>24</v>
      </c>
      <c r="F390" t="s">
        <v>17</v>
      </c>
      <c r="G390" t="s">
        <v>25</v>
      </c>
      <c r="H390">
        <v>12298.94</v>
      </c>
      <c r="I390">
        <v>0</v>
      </c>
      <c r="J390" t="str">
        <f t="shared" si="30"/>
        <v>High</v>
      </c>
      <c r="K390" t="str">
        <f t="shared" si="31"/>
        <v>Normal</v>
      </c>
      <c r="L390">
        <f t="shared" si="32"/>
        <v>1</v>
      </c>
      <c r="M390">
        <f t="shared" si="33"/>
        <v>1</v>
      </c>
      <c r="N390" s="6">
        <f t="shared" si="34"/>
        <v>45683</v>
      </c>
    </row>
    <row r="391" spans="1:14" x14ac:dyDescent="0.3">
      <c r="A391">
        <v>614</v>
      </c>
      <c r="B391">
        <v>10088</v>
      </c>
      <c r="C391" t="s">
        <v>637</v>
      </c>
      <c r="D391" t="s">
        <v>23</v>
      </c>
      <c r="E391" t="s">
        <v>24</v>
      </c>
      <c r="F391" t="s">
        <v>17</v>
      </c>
      <c r="G391" t="s">
        <v>31</v>
      </c>
      <c r="H391">
        <v>11202.6</v>
      </c>
      <c r="I391">
        <v>0</v>
      </c>
      <c r="J391" t="str">
        <f t="shared" si="30"/>
        <v>High</v>
      </c>
      <c r="K391" t="str">
        <f t="shared" si="31"/>
        <v>Normal</v>
      </c>
      <c r="L391">
        <f t="shared" si="32"/>
        <v>1</v>
      </c>
      <c r="M391">
        <f t="shared" si="33"/>
        <v>1</v>
      </c>
      <c r="N391" s="6">
        <f t="shared" si="34"/>
        <v>45683</v>
      </c>
    </row>
    <row r="392" spans="1:14" x14ac:dyDescent="0.3">
      <c r="A392">
        <v>615</v>
      </c>
      <c r="B392">
        <v>10085</v>
      </c>
      <c r="C392" t="s">
        <v>638</v>
      </c>
      <c r="D392" t="s">
        <v>10</v>
      </c>
      <c r="E392" t="s">
        <v>24</v>
      </c>
      <c r="F392" t="s">
        <v>17</v>
      </c>
      <c r="G392" t="s">
        <v>21</v>
      </c>
      <c r="H392">
        <v>64845.69</v>
      </c>
      <c r="I392">
        <v>0</v>
      </c>
      <c r="J392" t="str">
        <f t="shared" si="30"/>
        <v>High</v>
      </c>
      <c r="K392" t="str">
        <f t="shared" si="31"/>
        <v>Normal</v>
      </c>
      <c r="L392">
        <f t="shared" si="32"/>
        <v>1</v>
      </c>
      <c r="M392">
        <f t="shared" si="33"/>
        <v>1</v>
      </c>
      <c r="N392" s="6">
        <f t="shared" si="34"/>
        <v>45683</v>
      </c>
    </row>
    <row r="393" spans="1:14" x14ac:dyDescent="0.3">
      <c r="A393">
        <v>616</v>
      </c>
      <c r="B393">
        <v>10012</v>
      </c>
      <c r="C393" t="s">
        <v>639</v>
      </c>
      <c r="D393" t="s">
        <v>23</v>
      </c>
      <c r="E393" t="s">
        <v>16</v>
      </c>
      <c r="F393" t="s">
        <v>17</v>
      </c>
      <c r="G393" t="s">
        <v>18</v>
      </c>
      <c r="H393">
        <v>87524.29</v>
      </c>
      <c r="I393">
        <v>0</v>
      </c>
      <c r="J393" t="str">
        <f t="shared" si="30"/>
        <v>High</v>
      </c>
      <c r="K393" t="str">
        <f t="shared" si="31"/>
        <v>Normal</v>
      </c>
      <c r="L393">
        <f t="shared" si="32"/>
        <v>1</v>
      </c>
      <c r="M393">
        <f t="shared" si="33"/>
        <v>1</v>
      </c>
      <c r="N393" s="6">
        <f t="shared" si="34"/>
        <v>45683</v>
      </c>
    </row>
    <row r="394" spans="1:14" x14ac:dyDescent="0.3">
      <c r="A394">
        <v>617</v>
      </c>
      <c r="B394">
        <v>10058</v>
      </c>
      <c r="C394" t="s">
        <v>640</v>
      </c>
      <c r="D394" t="s">
        <v>10</v>
      </c>
      <c r="E394" t="s">
        <v>16</v>
      </c>
      <c r="F394" t="s">
        <v>17</v>
      </c>
      <c r="G394" t="s">
        <v>25</v>
      </c>
      <c r="H394">
        <v>79073</v>
      </c>
      <c r="I394">
        <v>0</v>
      </c>
      <c r="J394" t="str">
        <f t="shared" si="30"/>
        <v>High</v>
      </c>
      <c r="K394" t="str">
        <f t="shared" si="31"/>
        <v>Normal</v>
      </c>
      <c r="L394">
        <f t="shared" si="32"/>
        <v>1</v>
      </c>
      <c r="M394">
        <f t="shared" si="33"/>
        <v>1</v>
      </c>
      <c r="N394" s="6">
        <f t="shared" si="34"/>
        <v>45683</v>
      </c>
    </row>
    <row r="395" spans="1:14" x14ac:dyDescent="0.3">
      <c r="A395">
        <v>618</v>
      </c>
      <c r="B395">
        <v>10018</v>
      </c>
      <c r="C395" t="s">
        <v>641</v>
      </c>
      <c r="D395" t="s">
        <v>23</v>
      </c>
      <c r="E395" t="s">
        <v>16</v>
      </c>
      <c r="F395" t="s">
        <v>17</v>
      </c>
      <c r="G395" t="s">
        <v>21</v>
      </c>
      <c r="H395">
        <v>14196.65</v>
      </c>
      <c r="I395">
        <v>0</v>
      </c>
      <c r="J395" t="str">
        <f t="shared" si="30"/>
        <v>High</v>
      </c>
      <c r="K395" t="str">
        <f t="shared" si="31"/>
        <v>Normal</v>
      </c>
      <c r="L395">
        <f t="shared" si="32"/>
        <v>1</v>
      </c>
      <c r="M395">
        <f t="shared" si="33"/>
        <v>1</v>
      </c>
      <c r="N395" s="6">
        <f t="shared" si="34"/>
        <v>45683</v>
      </c>
    </row>
    <row r="396" spans="1:14" x14ac:dyDescent="0.3">
      <c r="A396">
        <v>619</v>
      </c>
      <c r="B396">
        <v>10048</v>
      </c>
      <c r="C396" t="s">
        <v>642</v>
      </c>
      <c r="D396" t="s">
        <v>29</v>
      </c>
      <c r="E396" t="s">
        <v>24</v>
      </c>
      <c r="F396" t="s">
        <v>12</v>
      </c>
      <c r="G396" t="s">
        <v>25</v>
      </c>
      <c r="H396">
        <v>54603.65</v>
      </c>
      <c r="I396">
        <v>0</v>
      </c>
      <c r="J396" t="str">
        <f t="shared" si="30"/>
        <v>High</v>
      </c>
      <c r="K396" t="str">
        <f t="shared" si="31"/>
        <v>Normal</v>
      </c>
      <c r="L396">
        <f t="shared" si="32"/>
        <v>1</v>
      </c>
      <c r="M396">
        <f t="shared" si="33"/>
        <v>1</v>
      </c>
      <c r="N396" s="6">
        <f t="shared" si="34"/>
        <v>45683</v>
      </c>
    </row>
    <row r="397" spans="1:14" x14ac:dyDescent="0.3">
      <c r="A397">
        <v>620</v>
      </c>
      <c r="B397">
        <v>10099</v>
      </c>
      <c r="C397" t="s">
        <v>643</v>
      </c>
      <c r="D397" t="s">
        <v>29</v>
      </c>
      <c r="E397" t="s">
        <v>24</v>
      </c>
      <c r="F397" t="s">
        <v>12</v>
      </c>
      <c r="G397" t="s">
        <v>25</v>
      </c>
      <c r="H397">
        <v>10648.6</v>
      </c>
      <c r="I397">
        <v>0</v>
      </c>
      <c r="J397" t="str">
        <f t="shared" si="30"/>
        <v>High</v>
      </c>
      <c r="K397" t="str">
        <f t="shared" si="31"/>
        <v>Normal</v>
      </c>
      <c r="L397">
        <f t="shared" si="32"/>
        <v>1</v>
      </c>
      <c r="M397">
        <f t="shared" si="33"/>
        <v>1</v>
      </c>
      <c r="N397" s="6">
        <f t="shared" si="34"/>
        <v>45683</v>
      </c>
    </row>
    <row r="398" spans="1:14" x14ac:dyDescent="0.3">
      <c r="A398">
        <v>621</v>
      </c>
      <c r="B398">
        <v>10011</v>
      </c>
      <c r="C398" t="s">
        <v>644</v>
      </c>
      <c r="D398" t="s">
        <v>15</v>
      </c>
      <c r="E398" t="s">
        <v>16</v>
      </c>
      <c r="F398" t="s">
        <v>17</v>
      </c>
      <c r="G398" t="s">
        <v>13</v>
      </c>
      <c r="H398">
        <v>4624.93</v>
      </c>
      <c r="I398">
        <v>0</v>
      </c>
      <c r="J398" t="str">
        <f t="shared" si="30"/>
        <v>High</v>
      </c>
      <c r="K398" t="str">
        <f t="shared" si="31"/>
        <v>Normal</v>
      </c>
      <c r="L398">
        <f t="shared" si="32"/>
        <v>1</v>
      </c>
      <c r="M398">
        <f t="shared" si="33"/>
        <v>1</v>
      </c>
      <c r="N398" s="6">
        <f t="shared" si="34"/>
        <v>45683</v>
      </c>
    </row>
    <row r="399" spans="1:14" x14ac:dyDescent="0.3">
      <c r="A399">
        <v>622</v>
      </c>
      <c r="B399">
        <v>10060</v>
      </c>
      <c r="C399" t="s">
        <v>645</v>
      </c>
      <c r="D399" t="s">
        <v>23</v>
      </c>
      <c r="E399" t="s">
        <v>11</v>
      </c>
      <c r="F399" t="s">
        <v>17</v>
      </c>
      <c r="G399" t="s">
        <v>25</v>
      </c>
      <c r="H399">
        <v>65672.95</v>
      </c>
      <c r="I399">
        <v>1</v>
      </c>
      <c r="J399" t="str">
        <f t="shared" si="30"/>
        <v>High</v>
      </c>
      <c r="K399" t="str">
        <f t="shared" si="31"/>
        <v>High Risk</v>
      </c>
      <c r="L399">
        <f t="shared" si="32"/>
        <v>1</v>
      </c>
      <c r="M399">
        <f t="shared" si="33"/>
        <v>1</v>
      </c>
      <c r="N399" s="6">
        <f t="shared" si="34"/>
        <v>45683</v>
      </c>
    </row>
    <row r="400" spans="1:14" x14ac:dyDescent="0.3">
      <c r="A400">
        <v>623</v>
      </c>
      <c r="B400">
        <v>10018</v>
      </c>
      <c r="C400" t="s">
        <v>646</v>
      </c>
      <c r="D400" t="s">
        <v>20</v>
      </c>
      <c r="E400" t="s">
        <v>24</v>
      </c>
      <c r="F400" t="s">
        <v>12</v>
      </c>
      <c r="G400" t="s">
        <v>13</v>
      </c>
      <c r="H400">
        <v>53561.72</v>
      </c>
      <c r="I400">
        <v>0</v>
      </c>
      <c r="J400" t="str">
        <f t="shared" si="30"/>
        <v>High</v>
      </c>
      <c r="K400" t="str">
        <f t="shared" si="31"/>
        <v>Normal</v>
      </c>
      <c r="L400">
        <f t="shared" si="32"/>
        <v>1</v>
      </c>
      <c r="M400">
        <f t="shared" si="33"/>
        <v>1</v>
      </c>
      <c r="N400" s="6">
        <f t="shared" si="34"/>
        <v>45683</v>
      </c>
    </row>
    <row r="401" spans="1:14" x14ac:dyDescent="0.3">
      <c r="A401">
        <v>624</v>
      </c>
      <c r="B401">
        <v>10075</v>
      </c>
      <c r="C401" t="s">
        <v>647</v>
      </c>
      <c r="D401" t="s">
        <v>15</v>
      </c>
      <c r="E401" t="s">
        <v>11</v>
      </c>
      <c r="F401" t="s">
        <v>12</v>
      </c>
      <c r="G401" t="s">
        <v>31</v>
      </c>
      <c r="H401">
        <v>8294.17</v>
      </c>
      <c r="I401">
        <v>0</v>
      </c>
      <c r="J401" t="str">
        <f t="shared" si="30"/>
        <v>High</v>
      </c>
      <c r="K401" t="str">
        <f t="shared" si="31"/>
        <v>Normal</v>
      </c>
      <c r="L401">
        <f t="shared" si="32"/>
        <v>1</v>
      </c>
      <c r="M401">
        <f t="shared" si="33"/>
        <v>1</v>
      </c>
      <c r="N401" s="6">
        <f t="shared" si="34"/>
        <v>45683</v>
      </c>
    </row>
    <row r="402" spans="1:14" x14ac:dyDescent="0.3">
      <c r="A402">
        <v>577</v>
      </c>
      <c r="B402">
        <v>10073</v>
      </c>
      <c r="C402" t="s">
        <v>600</v>
      </c>
      <c r="D402" t="s">
        <v>15</v>
      </c>
      <c r="E402" t="s">
        <v>11</v>
      </c>
      <c r="F402" t="s">
        <v>12</v>
      </c>
      <c r="G402" t="s">
        <v>13</v>
      </c>
      <c r="H402">
        <v>31823.7</v>
      </c>
      <c r="I402">
        <v>0</v>
      </c>
      <c r="J402" t="str">
        <f t="shared" si="30"/>
        <v>High</v>
      </c>
      <c r="K402" t="str">
        <f t="shared" si="31"/>
        <v>Normal</v>
      </c>
      <c r="L402">
        <f t="shared" si="32"/>
        <v>1</v>
      </c>
      <c r="M402">
        <f t="shared" si="33"/>
        <v>1</v>
      </c>
      <c r="N402" s="6">
        <f t="shared" si="34"/>
        <v>45682</v>
      </c>
    </row>
    <row r="403" spans="1:14" x14ac:dyDescent="0.3">
      <c r="A403">
        <v>578</v>
      </c>
      <c r="B403">
        <v>10089</v>
      </c>
      <c r="C403" t="s">
        <v>601</v>
      </c>
      <c r="D403" t="s">
        <v>20</v>
      </c>
      <c r="E403" t="s">
        <v>16</v>
      </c>
      <c r="F403" t="s">
        <v>17</v>
      </c>
      <c r="G403" t="s">
        <v>25</v>
      </c>
      <c r="H403">
        <v>26012.9</v>
      </c>
      <c r="I403">
        <v>0</v>
      </c>
      <c r="J403" t="str">
        <f t="shared" si="30"/>
        <v>High</v>
      </c>
      <c r="K403" t="str">
        <f t="shared" si="31"/>
        <v>Normal</v>
      </c>
      <c r="L403">
        <f t="shared" si="32"/>
        <v>1</v>
      </c>
      <c r="M403">
        <f t="shared" si="33"/>
        <v>1</v>
      </c>
      <c r="N403" s="6">
        <f t="shared" si="34"/>
        <v>45682</v>
      </c>
    </row>
    <row r="404" spans="1:14" x14ac:dyDescent="0.3">
      <c r="A404">
        <v>579</v>
      </c>
      <c r="B404">
        <v>10033</v>
      </c>
      <c r="C404" t="s">
        <v>602</v>
      </c>
      <c r="D404" t="s">
        <v>29</v>
      </c>
      <c r="E404" t="s">
        <v>24</v>
      </c>
      <c r="F404" t="s">
        <v>17</v>
      </c>
      <c r="G404" t="s">
        <v>21</v>
      </c>
      <c r="H404">
        <v>8850.3700000000008</v>
      </c>
      <c r="I404">
        <v>0</v>
      </c>
      <c r="J404" t="str">
        <f t="shared" si="30"/>
        <v>High</v>
      </c>
      <c r="K404" t="str">
        <f t="shared" si="31"/>
        <v>Normal</v>
      </c>
      <c r="L404">
        <f t="shared" si="32"/>
        <v>1</v>
      </c>
      <c r="M404">
        <f t="shared" si="33"/>
        <v>1</v>
      </c>
      <c r="N404" s="6">
        <f t="shared" si="34"/>
        <v>45682</v>
      </c>
    </row>
    <row r="405" spans="1:14" x14ac:dyDescent="0.3">
      <c r="A405">
        <v>580</v>
      </c>
      <c r="B405">
        <v>10006</v>
      </c>
      <c r="C405" t="s">
        <v>603</v>
      </c>
      <c r="D405" t="s">
        <v>10</v>
      </c>
      <c r="E405" t="s">
        <v>16</v>
      </c>
      <c r="F405" t="s">
        <v>17</v>
      </c>
      <c r="G405" t="s">
        <v>21</v>
      </c>
      <c r="H405">
        <v>9082.6299999999992</v>
      </c>
      <c r="I405">
        <v>0</v>
      </c>
      <c r="J405" t="str">
        <f t="shared" si="30"/>
        <v>High</v>
      </c>
      <c r="K405" t="str">
        <f t="shared" si="31"/>
        <v>Normal</v>
      </c>
      <c r="L405">
        <f t="shared" si="32"/>
        <v>1</v>
      </c>
      <c r="M405">
        <f t="shared" si="33"/>
        <v>1</v>
      </c>
      <c r="N405" s="6">
        <f t="shared" si="34"/>
        <v>45682</v>
      </c>
    </row>
    <row r="406" spans="1:14" x14ac:dyDescent="0.3">
      <c r="A406">
        <v>581</v>
      </c>
      <c r="B406">
        <v>10067</v>
      </c>
      <c r="C406" t="s">
        <v>604</v>
      </c>
      <c r="D406" t="s">
        <v>23</v>
      </c>
      <c r="E406" t="s">
        <v>24</v>
      </c>
      <c r="F406" t="s">
        <v>17</v>
      </c>
      <c r="G406" t="s">
        <v>21</v>
      </c>
      <c r="H406">
        <v>19405.62</v>
      </c>
      <c r="I406">
        <v>0</v>
      </c>
      <c r="J406" t="str">
        <f t="shared" si="30"/>
        <v>High</v>
      </c>
      <c r="K406" t="str">
        <f t="shared" si="31"/>
        <v>Normal</v>
      </c>
      <c r="L406">
        <f t="shared" si="32"/>
        <v>1</v>
      </c>
      <c r="M406">
        <f t="shared" si="33"/>
        <v>1</v>
      </c>
      <c r="N406" s="6">
        <f t="shared" si="34"/>
        <v>45682</v>
      </c>
    </row>
    <row r="407" spans="1:14" x14ac:dyDescent="0.3">
      <c r="A407">
        <v>582</v>
      </c>
      <c r="B407">
        <v>10057</v>
      </c>
      <c r="C407" t="s">
        <v>605</v>
      </c>
      <c r="D407" t="s">
        <v>15</v>
      </c>
      <c r="E407" t="s">
        <v>16</v>
      </c>
      <c r="F407" t="s">
        <v>12</v>
      </c>
      <c r="G407" t="s">
        <v>13</v>
      </c>
      <c r="H407">
        <v>5150.8599999999997</v>
      </c>
      <c r="I407">
        <v>0</v>
      </c>
      <c r="J407" t="str">
        <f t="shared" si="30"/>
        <v>High</v>
      </c>
      <c r="K407" t="str">
        <f t="shared" si="31"/>
        <v>Normal</v>
      </c>
      <c r="L407">
        <f t="shared" si="32"/>
        <v>1</v>
      </c>
      <c r="M407">
        <f t="shared" si="33"/>
        <v>1</v>
      </c>
      <c r="N407" s="6">
        <f t="shared" si="34"/>
        <v>45682</v>
      </c>
    </row>
    <row r="408" spans="1:14" x14ac:dyDescent="0.3">
      <c r="A408">
        <v>583</v>
      </c>
      <c r="B408">
        <v>10074</v>
      </c>
      <c r="C408" t="s">
        <v>606</v>
      </c>
      <c r="D408" t="s">
        <v>23</v>
      </c>
      <c r="E408" t="s">
        <v>11</v>
      </c>
      <c r="F408" t="s">
        <v>12</v>
      </c>
      <c r="G408" t="s">
        <v>31</v>
      </c>
      <c r="H408">
        <v>62683.06</v>
      </c>
      <c r="I408">
        <v>1</v>
      </c>
      <c r="J408" t="str">
        <f t="shared" si="30"/>
        <v>High</v>
      </c>
      <c r="K408" t="str">
        <f t="shared" si="31"/>
        <v>High Risk</v>
      </c>
      <c r="L408">
        <f t="shared" si="32"/>
        <v>1</v>
      </c>
      <c r="M408">
        <f t="shared" si="33"/>
        <v>1</v>
      </c>
      <c r="N408" s="6">
        <f t="shared" si="34"/>
        <v>45682</v>
      </c>
    </row>
    <row r="409" spans="1:14" x14ac:dyDescent="0.3">
      <c r="A409">
        <v>584</v>
      </c>
      <c r="B409">
        <v>10028</v>
      </c>
      <c r="C409" t="s">
        <v>607</v>
      </c>
      <c r="D409" t="s">
        <v>23</v>
      </c>
      <c r="E409" t="s">
        <v>24</v>
      </c>
      <c r="F409" t="s">
        <v>17</v>
      </c>
      <c r="G409" t="s">
        <v>13</v>
      </c>
      <c r="H409">
        <v>28803.94</v>
      </c>
      <c r="I409">
        <v>0</v>
      </c>
      <c r="J409" t="str">
        <f t="shared" si="30"/>
        <v>High</v>
      </c>
      <c r="K409" t="str">
        <f t="shared" si="31"/>
        <v>Normal</v>
      </c>
      <c r="L409">
        <f t="shared" si="32"/>
        <v>1</v>
      </c>
      <c r="M409">
        <f t="shared" si="33"/>
        <v>1</v>
      </c>
      <c r="N409" s="6">
        <f t="shared" si="34"/>
        <v>45682</v>
      </c>
    </row>
    <row r="410" spans="1:14" x14ac:dyDescent="0.3">
      <c r="A410">
        <v>585</v>
      </c>
      <c r="B410">
        <v>10035</v>
      </c>
      <c r="C410" t="s">
        <v>608</v>
      </c>
      <c r="D410" t="s">
        <v>20</v>
      </c>
      <c r="E410" t="s">
        <v>16</v>
      </c>
      <c r="F410" t="s">
        <v>12</v>
      </c>
      <c r="G410" t="s">
        <v>31</v>
      </c>
      <c r="H410">
        <v>28046.62</v>
      </c>
      <c r="I410">
        <v>0</v>
      </c>
      <c r="J410" t="str">
        <f t="shared" si="30"/>
        <v>High</v>
      </c>
      <c r="K410" t="str">
        <f t="shared" si="31"/>
        <v>Normal</v>
      </c>
      <c r="L410">
        <f t="shared" si="32"/>
        <v>1</v>
      </c>
      <c r="M410">
        <f t="shared" si="33"/>
        <v>1</v>
      </c>
      <c r="N410" s="6">
        <f t="shared" si="34"/>
        <v>45682</v>
      </c>
    </row>
    <row r="411" spans="1:14" x14ac:dyDescent="0.3">
      <c r="A411">
        <v>586</v>
      </c>
      <c r="B411">
        <v>10088</v>
      </c>
      <c r="C411" t="s">
        <v>609</v>
      </c>
      <c r="D411" t="s">
        <v>29</v>
      </c>
      <c r="E411" t="s">
        <v>11</v>
      </c>
      <c r="F411" t="s">
        <v>12</v>
      </c>
      <c r="G411" t="s">
        <v>25</v>
      </c>
      <c r="H411">
        <v>33266.629999999997</v>
      </c>
      <c r="I411">
        <v>0</v>
      </c>
      <c r="J411" t="str">
        <f t="shared" si="30"/>
        <v>High</v>
      </c>
      <c r="K411" t="str">
        <f t="shared" si="31"/>
        <v>Normal</v>
      </c>
      <c r="L411">
        <f t="shared" si="32"/>
        <v>1</v>
      </c>
      <c r="M411">
        <f t="shared" si="33"/>
        <v>1</v>
      </c>
      <c r="N411" s="6">
        <f t="shared" si="34"/>
        <v>45682</v>
      </c>
    </row>
    <row r="412" spans="1:14" x14ac:dyDescent="0.3">
      <c r="A412">
        <v>587</v>
      </c>
      <c r="B412">
        <v>10020</v>
      </c>
      <c r="C412" t="s">
        <v>610</v>
      </c>
      <c r="D412" t="s">
        <v>15</v>
      </c>
      <c r="E412" t="s">
        <v>11</v>
      </c>
      <c r="F412" t="s">
        <v>17</v>
      </c>
      <c r="G412" t="s">
        <v>18</v>
      </c>
      <c r="H412">
        <v>66313.350000000006</v>
      </c>
      <c r="I412">
        <v>1</v>
      </c>
      <c r="J412" t="str">
        <f t="shared" si="30"/>
        <v>High</v>
      </c>
      <c r="K412" t="str">
        <f t="shared" si="31"/>
        <v>High Risk</v>
      </c>
      <c r="L412">
        <f t="shared" si="32"/>
        <v>1</v>
      </c>
      <c r="M412">
        <f t="shared" si="33"/>
        <v>1</v>
      </c>
      <c r="N412" s="6">
        <f t="shared" si="34"/>
        <v>45682</v>
      </c>
    </row>
    <row r="413" spans="1:14" x14ac:dyDescent="0.3">
      <c r="A413">
        <v>588</v>
      </c>
      <c r="B413">
        <v>10035</v>
      </c>
      <c r="C413" t="s">
        <v>611</v>
      </c>
      <c r="D413" t="s">
        <v>23</v>
      </c>
      <c r="E413" t="s">
        <v>16</v>
      </c>
      <c r="F413" t="s">
        <v>12</v>
      </c>
      <c r="G413" t="s">
        <v>31</v>
      </c>
      <c r="H413">
        <v>87076.32</v>
      </c>
      <c r="I413">
        <v>0</v>
      </c>
      <c r="J413" t="str">
        <f t="shared" si="30"/>
        <v>High</v>
      </c>
      <c r="K413" t="str">
        <f t="shared" si="31"/>
        <v>Normal</v>
      </c>
      <c r="L413">
        <f t="shared" si="32"/>
        <v>1</v>
      </c>
      <c r="M413">
        <f t="shared" si="33"/>
        <v>1</v>
      </c>
      <c r="N413" s="6">
        <f t="shared" si="34"/>
        <v>45682</v>
      </c>
    </row>
    <row r="414" spans="1:14" x14ac:dyDescent="0.3">
      <c r="A414">
        <v>589</v>
      </c>
      <c r="B414">
        <v>10009</v>
      </c>
      <c r="C414" t="s">
        <v>612</v>
      </c>
      <c r="D414" t="s">
        <v>15</v>
      </c>
      <c r="E414" t="s">
        <v>24</v>
      </c>
      <c r="F414" t="s">
        <v>17</v>
      </c>
      <c r="G414" t="s">
        <v>21</v>
      </c>
      <c r="H414">
        <v>75932.78</v>
      </c>
      <c r="I414">
        <v>0</v>
      </c>
      <c r="J414" t="str">
        <f t="shared" si="30"/>
        <v>High</v>
      </c>
      <c r="K414" t="str">
        <f t="shared" si="31"/>
        <v>Normal</v>
      </c>
      <c r="L414">
        <f t="shared" si="32"/>
        <v>1</v>
      </c>
      <c r="M414">
        <f t="shared" si="33"/>
        <v>1</v>
      </c>
      <c r="N414" s="6">
        <f t="shared" si="34"/>
        <v>45682</v>
      </c>
    </row>
    <row r="415" spans="1:14" x14ac:dyDescent="0.3">
      <c r="A415">
        <v>590</v>
      </c>
      <c r="B415">
        <v>10072</v>
      </c>
      <c r="C415" t="s">
        <v>613</v>
      </c>
      <c r="D415" t="s">
        <v>10</v>
      </c>
      <c r="E415" t="s">
        <v>24</v>
      </c>
      <c r="F415" t="s">
        <v>12</v>
      </c>
      <c r="G415" t="s">
        <v>13</v>
      </c>
      <c r="H415">
        <v>72780.17</v>
      </c>
      <c r="I415">
        <v>0</v>
      </c>
      <c r="J415" t="str">
        <f t="shared" si="30"/>
        <v>High</v>
      </c>
      <c r="K415" t="str">
        <f t="shared" si="31"/>
        <v>Normal</v>
      </c>
      <c r="L415">
        <f t="shared" si="32"/>
        <v>1</v>
      </c>
      <c r="M415">
        <f t="shared" si="33"/>
        <v>1</v>
      </c>
      <c r="N415" s="6">
        <f t="shared" si="34"/>
        <v>45682</v>
      </c>
    </row>
    <row r="416" spans="1:14" x14ac:dyDescent="0.3">
      <c r="A416">
        <v>591</v>
      </c>
      <c r="B416">
        <v>10023</v>
      </c>
      <c r="C416" t="s">
        <v>614</v>
      </c>
      <c r="D416" t="s">
        <v>20</v>
      </c>
      <c r="E416" t="s">
        <v>11</v>
      </c>
      <c r="F416" t="s">
        <v>17</v>
      </c>
      <c r="G416" t="s">
        <v>25</v>
      </c>
      <c r="H416">
        <v>48490.68</v>
      </c>
      <c r="I416">
        <v>0</v>
      </c>
      <c r="J416" t="str">
        <f t="shared" si="30"/>
        <v>High</v>
      </c>
      <c r="K416" t="str">
        <f t="shared" si="31"/>
        <v>Normal</v>
      </c>
      <c r="L416">
        <f t="shared" si="32"/>
        <v>1</v>
      </c>
      <c r="M416">
        <f t="shared" si="33"/>
        <v>1</v>
      </c>
      <c r="N416" s="6">
        <f t="shared" si="34"/>
        <v>45682</v>
      </c>
    </row>
    <row r="417" spans="1:14" x14ac:dyDescent="0.3">
      <c r="A417">
        <v>592</v>
      </c>
      <c r="B417">
        <v>10063</v>
      </c>
      <c r="C417" t="s">
        <v>615</v>
      </c>
      <c r="D417" t="s">
        <v>10</v>
      </c>
      <c r="E417" t="s">
        <v>24</v>
      </c>
      <c r="F417" t="s">
        <v>12</v>
      </c>
      <c r="G417" t="s">
        <v>21</v>
      </c>
      <c r="H417">
        <v>69411.179999999993</v>
      </c>
      <c r="I417">
        <v>0</v>
      </c>
      <c r="J417" t="str">
        <f t="shared" si="30"/>
        <v>High</v>
      </c>
      <c r="K417" t="str">
        <f t="shared" si="31"/>
        <v>Normal</v>
      </c>
      <c r="L417">
        <f t="shared" si="32"/>
        <v>1</v>
      </c>
      <c r="M417">
        <f t="shared" si="33"/>
        <v>1</v>
      </c>
      <c r="N417" s="6">
        <f t="shared" si="34"/>
        <v>45682</v>
      </c>
    </row>
    <row r="418" spans="1:14" x14ac:dyDescent="0.3">
      <c r="A418">
        <v>593</v>
      </c>
      <c r="B418">
        <v>10098</v>
      </c>
      <c r="C418" t="s">
        <v>616</v>
      </c>
      <c r="D418" t="s">
        <v>15</v>
      </c>
      <c r="E418" t="s">
        <v>24</v>
      </c>
      <c r="F418" t="s">
        <v>12</v>
      </c>
      <c r="G418" t="s">
        <v>25</v>
      </c>
      <c r="H418">
        <v>55320.959999999999</v>
      </c>
      <c r="I418">
        <v>0</v>
      </c>
      <c r="J418" t="str">
        <f t="shared" si="30"/>
        <v>High</v>
      </c>
      <c r="K418" t="str">
        <f t="shared" si="31"/>
        <v>Normal</v>
      </c>
      <c r="L418">
        <f t="shared" si="32"/>
        <v>1</v>
      </c>
      <c r="M418">
        <f t="shared" si="33"/>
        <v>1</v>
      </c>
      <c r="N418" s="6">
        <f t="shared" si="34"/>
        <v>45682</v>
      </c>
    </row>
    <row r="419" spans="1:14" x14ac:dyDescent="0.3">
      <c r="A419">
        <v>594</v>
      </c>
      <c r="B419">
        <v>10048</v>
      </c>
      <c r="C419" t="s">
        <v>617</v>
      </c>
      <c r="D419" t="s">
        <v>15</v>
      </c>
      <c r="E419" t="s">
        <v>24</v>
      </c>
      <c r="F419" t="s">
        <v>17</v>
      </c>
      <c r="G419" t="s">
        <v>18</v>
      </c>
      <c r="H419">
        <v>21703.43</v>
      </c>
      <c r="I419">
        <v>0</v>
      </c>
      <c r="J419" t="str">
        <f t="shared" si="30"/>
        <v>High</v>
      </c>
      <c r="K419" t="str">
        <f t="shared" si="31"/>
        <v>Normal</v>
      </c>
      <c r="L419">
        <f t="shared" si="32"/>
        <v>1</v>
      </c>
      <c r="M419">
        <f t="shared" si="33"/>
        <v>1</v>
      </c>
      <c r="N419" s="6">
        <f t="shared" si="34"/>
        <v>45682</v>
      </c>
    </row>
    <row r="420" spans="1:14" x14ac:dyDescent="0.3">
      <c r="A420">
        <v>595</v>
      </c>
      <c r="B420">
        <v>10098</v>
      </c>
      <c r="C420" t="s">
        <v>618</v>
      </c>
      <c r="D420" t="s">
        <v>29</v>
      </c>
      <c r="E420" t="s">
        <v>11</v>
      </c>
      <c r="F420" t="s">
        <v>17</v>
      </c>
      <c r="G420" t="s">
        <v>13</v>
      </c>
      <c r="H420">
        <v>20937.98</v>
      </c>
      <c r="I420">
        <v>0</v>
      </c>
      <c r="J420" t="str">
        <f t="shared" si="30"/>
        <v>High</v>
      </c>
      <c r="K420" t="str">
        <f t="shared" si="31"/>
        <v>Normal</v>
      </c>
      <c r="L420">
        <f t="shared" si="32"/>
        <v>1</v>
      </c>
      <c r="M420">
        <f t="shared" si="33"/>
        <v>1</v>
      </c>
      <c r="N420" s="6">
        <f t="shared" si="34"/>
        <v>45682</v>
      </c>
    </row>
    <row r="421" spans="1:14" x14ac:dyDescent="0.3">
      <c r="A421">
        <v>596</v>
      </c>
      <c r="B421">
        <v>10035</v>
      </c>
      <c r="C421" t="s">
        <v>619</v>
      </c>
      <c r="D421" t="s">
        <v>23</v>
      </c>
      <c r="E421" t="s">
        <v>16</v>
      </c>
      <c r="F421" t="s">
        <v>17</v>
      </c>
      <c r="G421" t="s">
        <v>13</v>
      </c>
      <c r="H421">
        <v>29709.56</v>
      </c>
      <c r="I421">
        <v>0</v>
      </c>
      <c r="J421" t="str">
        <f t="shared" si="30"/>
        <v>High</v>
      </c>
      <c r="K421" t="str">
        <f t="shared" si="31"/>
        <v>Normal</v>
      </c>
      <c r="L421">
        <f t="shared" si="32"/>
        <v>1</v>
      </c>
      <c r="M421">
        <f t="shared" si="33"/>
        <v>1</v>
      </c>
      <c r="N421" s="6">
        <f t="shared" si="34"/>
        <v>45682</v>
      </c>
    </row>
    <row r="422" spans="1:14" x14ac:dyDescent="0.3">
      <c r="A422">
        <v>597</v>
      </c>
      <c r="B422">
        <v>10081</v>
      </c>
      <c r="C422" t="s">
        <v>620</v>
      </c>
      <c r="D422" t="s">
        <v>23</v>
      </c>
      <c r="E422" t="s">
        <v>24</v>
      </c>
      <c r="F422" t="s">
        <v>17</v>
      </c>
      <c r="G422" t="s">
        <v>18</v>
      </c>
      <c r="H422">
        <v>91089.19</v>
      </c>
      <c r="I422">
        <v>0</v>
      </c>
      <c r="J422" t="str">
        <f t="shared" si="30"/>
        <v>High</v>
      </c>
      <c r="K422" t="str">
        <f t="shared" si="31"/>
        <v>Normal</v>
      </c>
      <c r="L422">
        <f t="shared" si="32"/>
        <v>1</v>
      </c>
      <c r="M422">
        <f t="shared" si="33"/>
        <v>1</v>
      </c>
      <c r="N422" s="6">
        <f t="shared" si="34"/>
        <v>45682</v>
      </c>
    </row>
    <row r="423" spans="1:14" x14ac:dyDescent="0.3">
      <c r="A423">
        <v>598</v>
      </c>
      <c r="B423">
        <v>10095</v>
      </c>
      <c r="C423" t="s">
        <v>621</v>
      </c>
      <c r="D423" t="s">
        <v>10</v>
      </c>
      <c r="E423" t="s">
        <v>11</v>
      </c>
      <c r="F423" t="s">
        <v>12</v>
      </c>
      <c r="G423" t="s">
        <v>13</v>
      </c>
      <c r="H423">
        <v>54786.74</v>
      </c>
      <c r="I423">
        <v>1</v>
      </c>
      <c r="J423" t="str">
        <f t="shared" si="30"/>
        <v>High</v>
      </c>
      <c r="K423" t="str">
        <f t="shared" si="31"/>
        <v>High Risk</v>
      </c>
      <c r="L423">
        <f t="shared" si="32"/>
        <v>1</v>
      </c>
      <c r="M423">
        <f t="shared" si="33"/>
        <v>1</v>
      </c>
      <c r="N423" s="6">
        <f t="shared" si="34"/>
        <v>45682</v>
      </c>
    </row>
    <row r="424" spans="1:14" x14ac:dyDescent="0.3">
      <c r="A424">
        <v>599</v>
      </c>
      <c r="B424">
        <v>10023</v>
      </c>
      <c r="C424" t="s">
        <v>622</v>
      </c>
      <c r="D424" t="s">
        <v>20</v>
      </c>
      <c r="E424" t="s">
        <v>11</v>
      </c>
      <c r="F424" t="s">
        <v>12</v>
      </c>
      <c r="G424" t="s">
        <v>31</v>
      </c>
      <c r="H424">
        <v>73417.149999999994</v>
      </c>
      <c r="I424">
        <v>1</v>
      </c>
      <c r="J424" t="str">
        <f t="shared" si="30"/>
        <v>High</v>
      </c>
      <c r="K424" t="str">
        <f t="shared" si="31"/>
        <v>High Risk</v>
      </c>
      <c r="L424">
        <f t="shared" si="32"/>
        <v>1</v>
      </c>
      <c r="M424">
        <f t="shared" si="33"/>
        <v>1</v>
      </c>
      <c r="N424" s="6">
        <f t="shared" si="34"/>
        <v>45682</v>
      </c>
    </row>
    <row r="425" spans="1:14" x14ac:dyDescent="0.3">
      <c r="A425">
        <v>600</v>
      </c>
      <c r="B425">
        <v>10022</v>
      </c>
      <c r="C425" t="s">
        <v>623</v>
      </c>
      <c r="D425" t="s">
        <v>23</v>
      </c>
      <c r="E425" t="s">
        <v>16</v>
      </c>
      <c r="F425" t="s">
        <v>17</v>
      </c>
      <c r="G425" t="s">
        <v>25</v>
      </c>
      <c r="H425">
        <v>34721.22</v>
      </c>
      <c r="I425">
        <v>0</v>
      </c>
      <c r="J425" t="str">
        <f t="shared" si="30"/>
        <v>High</v>
      </c>
      <c r="K425" t="str">
        <f t="shared" si="31"/>
        <v>Normal</v>
      </c>
      <c r="L425">
        <f t="shared" si="32"/>
        <v>1</v>
      </c>
      <c r="M425">
        <f t="shared" si="33"/>
        <v>1</v>
      </c>
      <c r="N425" s="6">
        <f t="shared" si="34"/>
        <v>45682</v>
      </c>
    </row>
    <row r="426" spans="1:14" x14ac:dyDescent="0.3">
      <c r="A426">
        <v>553</v>
      </c>
      <c r="B426">
        <v>10060</v>
      </c>
      <c r="C426" t="s">
        <v>576</v>
      </c>
      <c r="D426" t="s">
        <v>15</v>
      </c>
      <c r="E426" t="s">
        <v>16</v>
      </c>
      <c r="F426" t="s">
        <v>17</v>
      </c>
      <c r="G426" t="s">
        <v>13</v>
      </c>
      <c r="H426">
        <v>21448.44</v>
      </c>
      <c r="I426">
        <v>0</v>
      </c>
      <c r="J426" t="str">
        <f t="shared" si="30"/>
        <v>High</v>
      </c>
      <c r="K426" t="str">
        <f t="shared" si="31"/>
        <v>Normal</v>
      </c>
      <c r="L426">
        <f t="shared" si="32"/>
        <v>1</v>
      </c>
      <c r="M426">
        <f t="shared" si="33"/>
        <v>1</v>
      </c>
      <c r="N426" s="6">
        <f t="shared" si="34"/>
        <v>45681</v>
      </c>
    </row>
    <row r="427" spans="1:14" x14ac:dyDescent="0.3">
      <c r="A427">
        <v>554</v>
      </c>
      <c r="B427">
        <v>10050</v>
      </c>
      <c r="C427" t="s">
        <v>577</v>
      </c>
      <c r="D427" t="s">
        <v>15</v>
      </c>
      <c r="E427" t="s">
        <v>11</v>
      </c>
      <c r="F427" t="s">
        <v>12</v>
      </c>
      <c r="G427" t="s">
        <v>25</v>
      </c>
      <c r="H427">
        <v>42058.41</v>
      </c>
      <c r="I427">
        <v>0</v>
      </c>
      <c r="J427" t="str">
        <f t="shared" si="30"/>
        <v>High</v>
      </c>
      <c r="K427" t="str">
        <f t="shared" si="31"/>
        <v>Normal</v>
      </c>
      <c r="L427">
        <f t="shared" si="32"/>
        <v>1</v>
      </c>
      <c r="M427">
        <f t="shared" si="33"/>
        <v>1</v>
      </c>
      <c r="N427" s="6">
        <f t="shared" si="34"/>
        <v>45681</v>
      </c>
    </row>
    <row r="428" spans="1:14" x14ac:dyDescent="0.3">
      <c r="A428">
        <v>555</v>
      </c>
      <c r="B428">
        <v>10042</v>
      </c>
      <c r="C428" t="s">
        <v>578</v>
      </c>
      <c r="D428" t="s">
        <v>10</v>
      </c>
      <c r="E428" t="s">
        <v>11</v>
      </c>
      <c r="F428" t="s">
        <v>17</v>
      </c>
      <c r="G428" t="s">
        <v>25</v>
      </c>
      <c r="H428">
        <v>1067.72</v>
      </c>
      <c r="I428">
        <v>0</v>
      </c>
      <c r="J428" t="str">
        <f t="shared" si="30"/>
        <v>High</v>
      </c>
      <c r="K428" t="str">
        <f t="shared" si="31"/>
        <v>Normal</v>
      </c>
      <c r="L428">
        <f t="shared" si="32"/>
        <v>1</v>
      </c>
      <c r="M428">
        <f t="shared" si="33"/>
        <v>1</v>
      </c>
      <c r="N428" s="6">
        <f t="shared" si="34"/>
        <v>45681</v>
      </c>
    </row>
    <row r="429" spans="1:14" x14ac:dyDescent="0.3">
      <c r="A429">
        <v>556</v>
      </c>
      <c r="B429">
        <v>10011</v>
      </c>
      <c r="C429" t="s">
        <v>579</v>
      </c>
      <c r="D429" t="s">
        <v>23</v>
      </c>
      <c r="E429" t="s">
        <v>24</v>
      </c>
      <c r="F429" t="s">
        <v>17</v>
      </c>
      <c r="G429" t="s">
        <v>21</v>
      </c>
      <c r="H429">
        <v>85809.71</v>
      </c>
      <c r="I429">
        <v>0</v>
      </c>
      <c r="J429" t="str">
        <f t="shared" si="30"/>
        <v>High</v>
      </c>
      <c r="K429" t="str">
        <f t="shared" si="31"/>
        <v>Normal</v>
      </c>
      <c r="L429">
        <f t="shared" si="32"/>
        <v>1</v>
      </c>
      <c r="M429">
        <f t="shared" si="33"/>
        <v>1</v>
      </c>
      <c r="N429" s="6">
        <f t="shared" si="34"/>
        <v>45681</v>
      </c>
    </row>
    <row r="430" spans="1:14" x14ac:dyDescent="0.3">
      <c r="A430">
        <v>557</v>
      </c>
      <c r="B430">
        <v>10066</v>
      </c>
      <c r="C430" t="s">
        <v>580</v>
      </c>
      <c r="D430" t="s">
        <v>29</v>
      </c>
      <c r="E430" t="s">
        <v>16</v>
      </c>
      <c r="F430" t="s">
        <v>17</v>
      </c>
      <c r="G430" t="s">
        <v>13</v>
      </c>
      <c r="H430">
        <v>73142.62</v>
      </c>
      <c r="I430">
        <v>0</v>
      </c>
      <c r="J430" t="str">
        <f t="shared" si="30"/>
        <v>High</v>
      </c>
      <c r="K430" t="str">
        <f t="shared" si="31"/>
        <v>Normal</v>
      </c>
      <c r="L430">
        <f t="shared" si="32"/>
        <v>1</v>
      </c>
      <c r="M430">
        <f t="shared" si="33"/>
        <v>1</v>
      </c>
      <c r="N430" s="6">
        <f t="shared" si="34"/>
        <v>45681</v>
      </c>
    </row>
    <row r="431" spans="1:14" x14ac:dyDescent="0.3">
      <c r="A431">
        <v>558</v>
      </c>
      <c r="B431">
        <v>10064</v>
      </c>
      <c r="C431" t="s">
        <v>581</v>
      </c>
      <c r="D431" t="s">
        <v>29</v>
      </c>
      <c r="E431" t="s">
        <v>24</v>
      </c>
      <c r="F431" t="s">
        <v>12</v>
      </c>
      <c r="G431" t="s">
        <v>25</v>
      </c>
      <c r="H431">
        <v>94680.93</v>
      </c>
      <c r="I431">
        <v>0</v>
      </c>
      <c r="J431" t="str">
        <f t="shared" si="30"/>
        <v>High</v>
      </c>
      <c r="K431" t="str">
        <f t="shared" si="31"/>
        <v>Normal</v>
      </c>
      <c r="L431">
        <f t="shared" si="32"/>
        <v>1</v>
      </c>
      <c r="M431">
        <f t="shared" si="33"/>
        <v>1</v>
      </c>
      <c r="N431" s="6">
        <f t="shared" si="34"/>
        <v>45681</v>
      </c>
    </row>
    <row r="432" spans="1:14" x14ac:dyDescent="0.3">
      <c r="A432">
        <v>559</v>
      </c>
      <c r="B432">
        <v>10032</v>
      </c>
      <c r="C432" t="s">
        <v>582</v>
      </c>
      <c r="D432" t="s">
        <v>15</v>
      </c>
      <c r="E432" t="s">
        <v>16</v>
      </c>
      <c r="F432" t="s">
        <v>12</v>
      </c>
      <c r="G432" t="s">
        <v>31</v>
      </c>
      <c r="H432">
        <v>78183.39</v>
      </c>
      <c r="I432">
        <v>0</v>
      </c>
      <c r="J432" t="str">
        <f t="shared" si="30"/>
        <v>High</v>
      </c>
      <c r="K432" t="str">
        <f t="shared" si="31"/>
        <v>Normal</v>
      </c>
      <c r="L432">
        <f t="shared" si="32"/>
        <v>1</v>
      </c>
      <c r="M432">
        <f t="shared" si="33"/>
        <v>1</v>
      </c>
      <c r="N432" s="6">
        <f t="shared" si="34"/>
        <v>45681</v>
      </c>
    </row>
    <row r="433" spans="1:14" x14ac:dyDescent="0.3">
      <c r="A433">
        <v>560</v>
      </c>
      <c r="B433">
        <v>10039</v>
      </c>
      <c r="C433" t="s">
        <v>583</v>
      </c>
      <c r="D433" t="s">
        <v>15</v>
      </c>
      <c r="E433" t="s">
        <v>11</v>
      </c>
      <c r="F433" t="s">
        <v>17</v>
      </c>
      <c r="G433" t="s">
        <v>25</v>
      </c>
      <c r="H433">
        <v>31439.279999999999</v>
      </c>
      <c r="I433">
        <v>0</v>
      </c>
      <c r="J433" t="str">
        <f t="shared" si="30"/>
        <v>High</v>
      </c>
      <c r="K433" t="str">
        <f t="shared" si="31"/>
        <v>Normal</v>
      </c>
      <c r="L433">
        <f t="shared" si="32"/>
        <v>1</v>
      </c>
      <c r="M433">
        <f t="shared" si="33"/>
        <v>1</v>
      </c>
      <c r="N433" s="6">
        <f t="shared" si="34"/>
        <v>45681</v>
      </c>
    </row>
    <row r="434" spans="1:14" x14ac:dyDescent="0.3">
      <c r="A434">
        <v>561</v>
      </c>
      <c r="B434">
        <v>10073</v>
      </c>
      <c r="C434" t="s">
        <v>584</v>
      </c>
      <c r="D434" t="s">
        <v>23</v>
      </c>
      <c r="E434" t="s">
        <v>24</v>
      </c>
      <c r="F434" t="s">
        <v>12</v>
      </c>
      <c r="G434" t="s">
        <v>25</v>
      </c>
      <c r="H434">
        <v>24862.55</v>
      </c>
      <c r="I434">
        <v>0</v>
      </c>
      <c r="J434" t="str">
        <f t="shared" si="30"/>
        <v>High</v>
      </c>
      <c r="K434" t="str">
        <f t="shared" si="31"/>
        <v>Normal</v>
      </c>
      <c r="L434">
        <f t="shared" si="32"/>
        <v>1</v>
      </c>
      <c r="M434">
        <f t="shared" si="33"/>
        <v>1</v>
      </c>
      <c r="N434" s="6">
        <f t="shared" si="34"/>
        <v>45681</v>
      </c>
    </row>
    <row r="435" spans="1:14" x14ac:dyDescent="0.3">
      <c r="A435">
        <v>562</v>
      </c>
      <c r="B435">
        <v>10042</v>
      </c>
      <c r="C435" t="s">
        <v>585</v>
      </c>
      <c r="D435" t="s">
        <v>20</v>
      </c>
      <c r="E435" t="s">
        <v>24</v>
      </c>
      <c r="F435" t="s">
        <v>12</v>
      </c>
      <c r="G435" t="s">
        <v>13</v>
      </c>
      <c r="H435">
        <v>69801.86</v>
      </c>
      <c r="I435">
        <v>0</v>
      </c>
      <c r="J435" t="str">
        <f t="shared" si="30"/>
        <v>High</v>
      </c>
      <c r="K435" t="str">
        <f t="shared" si="31"/>
        <v>Normal</v>
      </c>
      <c r="L435">
        <f t="shared" si="32"/>
        <v>1</v>
      </c>
      <c r="M435">
        <f t="shared" si="33"/>
        <v>1</v>
      </c>
      <c r="N435" s="6">
        <f t="shared" si="34"/>
        <v>45681</v>
      </c>
    </row>
    <row r="436" spans="1:14" x14ac:dyDescent="0.3">
      <c r="A436">
        <v>563</v>
      </c>
      <c r="B436">
        <v>10043</v>
      </c>
      <c r="C436" t="s">
        <v>586</v>
      </c>
      <c r="D436" t="s">
        <v>10</v>
      </c>
      <c r="E436" t="s">
        <v>11</v>
      </c>
      <c r="F436" t="s">
        <v>12</v>
      </c>
      <c r="G436" t="s">
        <v>13</v>
      </c>
      <c r="H436">
        <v>36474.870000000003</v>
      </c>
      <c r="I436">
        <v>0</v>
      </c>
      <c r="J436" t="str">
        <f t="shared" si="30"/>
        <v>High</v>
      </c>
      <c r="K436" t="str">
        <f t="shared" si="31"/>
        <v>Normal</v>
      </c>
      <c r="L436">
        <f t="shared" si="32"/>
        <v>1</v>
      </c>
      <c r="M436">
        <f t="shared" si="33"/>
        <v>1</v>
      </c>
      <c r="N436" s="6">
        <f t="shared" si="34"/>
        <v>45681</v>
      </c>
    </row>
    <row r="437" spans="1:14" x14ac:dyDescent="0.3">
      <c r="A437">
        <v>564</v>
      </c>
      <c r="B437">
        <v>10028</v>
      </c>
      <c r="C437" t="s">
        <v>587</v>
      </c>
      <c r="D437" t="s">
        <v>15</v>
      </c>
      <c r="E437" t="s">
        <v>11</v>
      </c>
      <c r="F437" t="s">
        <v>12</v>
      </c>
      <c r="G437" t="s">
        <v>18</v>
      </c>
      <c r="H437">
        <v>56664.88</v>
      </c>
      <c r="I437">
        <v>1</v>
      </c>
      <c r="J437" t="str">
        <f t="shared" si="30"/>
        <v>High</v>
      </c>
      <c r="K437" t="str">
        <f t="shared" si="31"/>
        <v>High Risk</v>
      </c>
      <c r="L437">
        <f t="shared" si="32"/>
        <v>1</v>
      </c>
      <c r="M437">
        <f t="shared" si="33"/>
        <v>1</v>
      </c>
      <c r="N437" s="6">
        <f t="shared" si="34"/>
        <v>45681</v>
      </c>
    </row>
    <row r="438" spans="1:14" x14ac:dyDescent="0.3">
      <c r="A438">
        <v>565</v>
      </c>
      <c r="B438">
        <v>10012</v>
      </c>
      <c r="C438" t="s">
        <v>588</v>
      </c>
      <c r="D438" t="s">
        <v>29</v>
      </c>
      <c r="E438" t="s">
        <v>11</v>
      </c>
      <c r="F438" t="s">
        <v>12</v>
      </c>
      <c r="G438" t="s">
        <v>31</v>
      </c>
      <c r="H438">
        <v>725.12</v>
      </c>
      <c r="I438">
        <v>0</v>
      </c>
      <c r="J438" t="str">
        <f t="shared" si="30"/>
        <v>High</v>
      </c>
      <c r="K438" t="str">
        <f t="shared" si="31"/>
        <v>Normal</v>
      </c>
      <c r="L438">
        <f t="shared" si="32"/>
        <v>1</v>
      </c>
      <c r="M438">
        <f t="shared" si="33"/>
        <v>1</v>
      </c>
      <c r="N438" s="6">
        <f t="shared" si="34"/>
        <v>45681</v>
      </c>
    </row>
    <row r="439" spans="1:14" x14ac:dyDescent="0.3">
      <c r="A439">
        <v>566</v>
      </c>
      <c r="B439">
        <v>10011</v>
      </c>
      <c r="C439" t="s">
        <v>589</v>
      </c>
      <c r="D439" t="s">
        <v>23</v>
      </c>
      <c r="E439" t="s">
        <v>24</v>
      </c>
      <c r="F439" t="s">
        <v>12</v>
      </c>
      <c r="G439" t="s">
        <v>13</v>
      </c>
      <c r="H439">
        <v>6282.38</v>
      </c>
      <c r="I439">
        <v>0</v>
      </c>
      <c r="J439" t="str">
        <f t="shared" si="30"/>
        <v>High</v>
      </c>
      <c r="K439" t="str">
        <f t="shared" si="31"/>
        <v>Normal</v>
      </c>
      <c r="L439">
        <f t="shared" si="32"/>
        <v>1</v>
      </c>
      <c r="M439">
        <f t="shared" si="33"/>
        <v>1</v>
      </c>
      <c r="N439" s="6">
        <f t="shared" si="34"/>
        <v>45681</v>
      </c>
    </row>
    <row r="440" spans="1:14" x14ac:dyDescent="0.3">
      <c r="A440">
        <v>567</v>
      </c>
      <c r="B440">
        <v>10094</v>
      </c>
      <c r="C440" t="s">
        <v>590</v>
      </c>
      <c r="D440" t="s">
        <v>10</v>
      </c>
      <c r="E440" t="s">
        <v>16</v>
      </c>
      <c r="F440" t="s">
        <v>12</v>
      </c>
      <c r="G440" t="s">
        <v>21</v>
      </c>
      <c r="H440">
        <v>53583.26</v>
      </c>
      <c r="I440">
        <v>0</v>
      </c>
      <c r="J440" t="str">
        <f t="shared" si="30"/>
        <v>High</v>
      </c>
      <c r="K440" t="str">
        <f t="shared" si="31"/>
        <v>Normal</v>
      </c>
      <c r="L440">
        <f t="shared" si="32"/>
        <v>1</v>
      </c>
      <c r="M440">
        <f t="shared" si="33"/>
        <v>1</v>
      </c>
      <c r="N440" s="6">
        <f t="shared" si="34"/>
        <v>45681</v>
      </c>
    </row>
    <row r="441" spans="1:14" x14ac:dyDescent="0.3">
      <c r="A441">
        <v>568</v>
      </c>
      <c r="B441">
        <v>10045</v>
      </c>
      <c r="C441" t="s">
        <v>591</v>
      </c>
      <c r="D441" t="s">
        <v>23</v>
      </c>
      <c r="E441" t="s">
        <v>24</v>
      </c>
      <c r="F441" t="s">
        <v>17</v>
      </c>
      <c r="G441" t="s">
        <v>31</v>
      </c>
      <c r="H441">
        <v>56650.559999999998</v>
      </c>
      <c r="I441">
        <v>0</v>
      </c>
      <c r="J441" t="str">
        <f t="shared" si="30"/>
        <v>High</v>
      </c>
      <c r="K441" t="str">
        <f t="shared" si="31"/>
        <v>Normal</v>
      </c>
      <c r="L441">
        <f t="shared" si="32"/>
        <v>1</v>
      </c>
      <c r="M441">
        <f t="shared" si="33"/>
        <v>1</v>
      </c>
      <c r="N441" s="6">
        <f t="shared" si="34"/>
        <v>45681</v>
      </c>
    </row>
    <row r="442" spans="1:14" x14ac:dyDescent="0.3">
      <c r="A442">
        <v>569</v>
      </c>
      <c r="B442">
        <v>10001</v>
      </c>
      <c r="C442" t="s">
        <v>592</v>
      </c>
      <c r="D442" t="s">
        <v>10</v>
      </c>
      <c r="E442" t="s">
        <v>16</v>
      </c>
      <c r="F442" t="s">
        <v>17</v>
      </c>
      <c r="G442" t="s">
        <v>31</v>
      </c>
      <c r="H442">
        <v>75170.149999999994</v>
      </c>
      <c r="I442">
        <v>0</v>
      </c>
      <c r="J442" t="str">
        <f t="shared" si="30"/>
        <v>High</v>
      </c>
      <c r="K442" t="str">
        <f t="shared" si="31"/>
        <v>Normal</v>
      </c>
      <c r="L442">
        <f t="shared" si="32"/>
        <v>1</v>
      </c>
      <c r="M442">
        <f t="shared" si="33"/>
        <v>1</v>
      </c>
      <c r="N442" s="6">
        <f t="shared" si="34"/>
        <v>45681</v>
      </c>
    </row>
    <row r="443" spans="1:14" x14ac:dyDescent="0.3">
      <c r="A443">
        <v>570</v>
      </c>
      <c r="B443">
        <v>10034</v>
      </c>
      <c r="C443" t="s">
        <v>593</v>
      </c>
      <c r="D443" t="s">
        <v>10</v>
      </c>
      <c r="E443" t="s">
        <v>24</v>
      </c>
      <c r="F443" t="s">
        <v>12</v>
      </c>
      <c r="G443" t="s">
        <v>13</v>
      </c>
      <c r="H443">
        <v>13283.34</v>
      </c>
      <c r="I443">
        <v>0</v>
      </c>
      <c r="J443" t="str">
        <f t="shared" si="30"/>
        <v>High</v>
      </c>
      <c r="K443" t="str">
        <f t="shared" si="31"/>
        <v>Normal</v>
      </c>
      <c r="L443">
        <f t="shared" si="32"/>
        <v>1</v>
      </c>
      <c r="M443">
        <f t="shared" si="33"/>
        <v>1</v>
      </c>
      <c r="N443" s="6">
        <f t="shared" si="34"/>
        <v>45681</v>
      </c>
    </row>
    <row r="444" spans="1:14" x14ac:dyDescent="0.3">
      <c r="A444">
        <v>571</v>
      </c>
      <c r="B444">
        <v>10086</v>
      </c>
      <c r="C444" t="s">
        <v>594</v>
      </c>
      <c r="D444" t="s">
        <v>15</v>
      </c>
      <c r="E444" t="s">
        <v>24</v>
      </c>
      <c r="F444" t="s">
        <v>17</v>
      </c>
      <c r="G444" t="s">
        <v>31</v>
      </c>
      <c r="H444">
        <v>51366.99</v>
      </c>
      <c r="I444">
        <v>0</v>
      </c>
      <c r="J444" t="str">
        <f t="shared" si="30"/>
        <v>High</v>
      </c>
      <c r="K444" t="str">
        <f t="shared" si="31"/>
        <v>Normal</v>
      </c>
      <c r="L444">
        <f t="shared" si="32"/>
        <v>1</v>
      </c>
      <c r="M444">
        <f t="shared" si="33"/>
        <v>1</v>
      </c>
      <c r="N444" s="6">
        <f t="shared" si="34"/>
        <v>45681</v>
      </c>
    </row>
    <row r="445" spans="1:14" x14ac:dyDescent="0.3">
      <c r="A445">
        <v>572</v>
      </c>
      <c r="B445">
        <v>10080</v>
      </c>
      <c r="C445" t="s">
        <v>595</v>
      </c>
      <c r="D445" t="s">
        <v>23</v>
      </c>
      <c r="E445" t="s">
        <v>11</v>
      </c>
      <c r="F445" t="s">
        <v>17</v>
      </c>
      <c r="G445" t="s">
        <v>13</v>
      </c>
      <c r="H445">
        <v>19525.32</v>
      </c>
      <c r="I445">
        <v>0</v>
      </c>
      <c r="J445" t="str">
        <f t="shared" si="30"/>
        <v>High</v>
      </c>
      <c r="K445" t="str">
        <f t="shared" si="31"/>
        <v>Normal</v>
      </c>
      <c r="L445">
        <f t="shared" si="32"/>
        <v>1</v>
      </c>
      <c r="M445">
        <f t="shared" si="33"/>
        <v>1</v>
      </c>
      <c r="N445" s="6">
        <f t="shared" si="34"/>
        <v>45681</v>
      </c>
    </row>
    <row r="446" spans="1:14" x14ac:dyDescent="0.3">
      <c r="A446">
        <v>573</v>
      </c>
      <c r="B446">
        <v>10089</v>
      </c>
      <c r="C446" t="s">
        <v>596</v>
      </c>
      <c r="D446" t="s">
        <v>23</v>
      </c>
      <c r="E446" t="s">
        <v>16</v>
      </c>
      <c r="F446" t="s">
        <v>12</v>
      </c>
      <c r="G446" t="s">
        <v>25</v>
      </c>
      <c r="H446">
        <v>9410.2900000000009</v>
      </c>
      <c r="I446">
        <v>0</v>
      </c>
      <c r="J446" t="str">
        <f t="shared" si="30"/>
        <v>High</v>
      </c>
      <c r="K446" t="str">
        <f t="shared" si="31"/>
        <v>Normal</v>
      </c>
      <c r="L446">
        <f t="shared" si="32"/>
        <v>1</v>
      </c>
      <c r="M446">
        <f t="shared" si="33"/>
        <v>1</v>
      </c>
      <c r="N446" s="6">
        <f t="shared" si="34"/>
        <v>45681</v>
      </c>
    </row>
    <row r="447" spans="1:14" x14ac:dyDescent="0.3">
      <c r="A447">
        <v>574</v>
      </c>
      <c r="B447">
        <v>10007</v>
      </c>
      <c r="C447" t="s">
        <v>597</v>
      </c>
      <c r="D447" t="s">
        <v>29</v>
      </c>
      <c r="E447" t="s">
        <v>24</v>
      </c>
      <c r="F447" t="s">
        <v>17</v>
      </c>
      <c r="G447" t="s">
        <v>18</v>
      </c>
      <c r="H447">
        <v>41108.53</v>
      </c>
      <c r="I447">
        <v>0</v>
      </c>
      <c r="J447" t="str">
        <f t="shared" si="30"/>
        <v>High</v>
      </c>
      <c r="K447" t="str">
        <f t="shared" si="31"/>
        <v>Normal</v>
      </c>
      <c r="L447">
        <f t="shared" si="32"/>
        <v>1</v>
      </c>
      <c r="M447">
        <f t="shared" si="33"/>
        <v>1</v>
      </c>
      <c r="N447" s="6">
        <f t="shared" si="34"/>
        <v>45681</v>
      </c>
    </row>
    <row r="448" spans="1:14" x14ac:dyDescent="0.3">
      <c r="A448">
        <v>575</v>
      </c>
      <c r="B448">
        <v>10092</v>
      </c>
      <c r="C448" t="s">
        <v>598</v>
      </c>
      <c r="D448" t="s">
        <v>29</v>
      </c>
      <c r="E448" t="s">
        <v>24</v>
      </c>
      <c r="F448" t="s">
        <v>12</v>
      </c>
      <c r="G448" t="s">
        <v>25</v>
      </c>
      <c r="H448">
        <v>16417.330000000002</v>
      </c>
      <c r="I448">
        <v>0</v>
      </c>
      <c r="J448" t="str">
        <f t="shared" si="30"/>
        <v>High</v>
      </c>
      <c r="K448" t="str">
        <f t="shared" si="31"/>
        <v>Normal</v>
      </c>
      <c r="L448">
        <f t="shared" si="32"/>
        <v>1</v>
      </c>
      <c r="M448">
        <f t="shared" si="33"/>
        <v>1</v>
      </c>
      <c r="N448" s="6">
        <f t="shared" si="34"/>
        <v>45681</v>
      </c>
    </row>
    <row r="449" spans="1:14" x14ac:dyDescent="0.3">
      <c r="A449">
        <v>576</v>
      </c>
      <c r="B449">
        <v>10025</v>
      </c>
      <c r="C449" t="s">
        <v>599</v>
      </c>
      <c r="D449" t="s">
        <v>15</v>
      </c>
      <c r="E449" t="s">
        <v>11</v>
      </c>
      <c r="F449" t="s">
        <v>12</v>
      </c>
      <c r="G449" t="s">
        <v>13</v>
      </c>
      <c r="H449">
        <v>22256.02</v>
      </c>
      <c r="I449">
        <v>0</v>
      </c>
      <c r="J449" t="str">
        <f t="shared" si="30"/>
        <v>High</v>
      </c>
      <c r="K449" t="str">
        <f t="shared" si="31"/>
        <v>Normal</v>
      </c>
      <c r="L449">
        <f t="shared" si="32"/>
        <v>1</v>
      </c>
      <c r="M449">
        <f t="shared" si="33"/>
        <v>1</v>
      </c>
      <c r="N449" s="6">
        <f t="shared" si="34"/>
        <v>45681</v>
      </c>
    </row>
    <row r="450" spans="1:14" x14ac:dyDescent="0.3">
      <c r="A450">
        <v>529</v>
      </c>
      <c r="B450">
        <v>10033</v>
      </c>
      <c r="C450" t="s">
        <v>552</v>
      </c>
      <c r="D450" t="s">
        <v>23</v>
      </c>
      <c r="E450" t="s">
        <v>16</v>
      </c>
      <c r="F450" t="s">
        <v>12</v>
      </c>
      <c r="G450" t="s">
        <v>18</v>
      </c>
      <c r="H450">
        <v>49739.86</v>
      </c>
      <c r="I450">
        <v>0</v>
      </c>
      <c r="J450" t="str">
        <f t="shared" ref="J450:J513" si="35">IF(E450&gt;50000,"High","Normal")</f>
        <v>High</v>
      </c>
      <c r="K450" t="str">
        <f t="shared" ref="K450:K513" si="36">IF(AND(H450&gt;50000,E450="Online"),"High Risk","Normal")</f>
        <v>Normal</v>
      </c>
      <c r="L450">
        <f t="shared" ref="L450:L513" si="37">COUNTIFS(C:C,C450,B:B,B450)</f>
        <v>1</v>
      </c>
      <c r="M450">
        <f t="shared" ref="M450:M513" si="38">IF(E450&gt;50000,1,0) + IF(H450="Unusual",1,0) + IF(I450&gt;3,1,0)</f>
        <v>1</v>
      </c>
      <c r="N450" s="6">
        <f t="shared" ref="N450:N513" si="39">INT(C450)</f>
        <v>45680</v>
      </c>
    </row>
    <row r="451" spans="1:14" x14ac:dyDescent="0.3">
      <c r="A451">
        <v>530</v>
      </c>
      <c r="B451">
        <v>10051</v>
      </c>
      <c r="C451" t="s">
        <v>553</v>
      </c>
      <c r="D451" t="s">
        <v>10</v>
      </c>
      <c r="E451" t="s">
        <v>16</v>
      </c>
      <c r="F451" t="s">
        <v>17</v>
      </c>
      <c r="G451" t="s">
        <v>25</v>
      </c>
      <c r="H451">
        <v>91702.51</v>
      </c>
      <c r="I451">
        <v>0</v>
      </c>
      <c r="J451" t="str">
        <f t="shared" si="35"/>
        <v>High</v>
      </c>
      <c r="K451" t="str">
        <f t="shared" si="36"/>
        <v>Normal</v>
      </c>
      <c r="L451">
        <f t="shared" si="37"/>
        <v>1</v>
      </c>
      <c r="M451">
        <f t="shared" si="38"/>
        <v>1</v>
      </c>
      <c r="N451" s="6">
        <f t="shared" si="39"/>
        <v>45680</v>
      </c>
    </row>
    <row r="452" spans="1:14" x14ac:dyDescent="0.3">
      <c r="A452">
        <v>531</v>
      </c>
      <c r="B452">
        <v>10094</v>
      </c>
      <c r="C452" t="s">
        <v>554</v>
      </c>
      <c r="D452" t="s">
        <v>29</v>
      </c>
      <c r="E452" t="s">
        <v>11</v>
      </c>
      <c r="F452" t="s">
        <v>12</v>
      </c>
      <c r="G452" t="s">
        <v>25</v>
      </c>
      <c r="H452">
        <v>77651.42</v>
      </c>
      <c r="I452">
        <v>1</v>
      </c>
      <c r="J452" t="str">
        <f t="shared" si="35"/>
        <v>High</v>
      </c>
      <c r="K452" t="str">
        <f t="shared" si="36"/>
        <v>High Risk</v>
      </c>
      <c r="L452">
        <f t="shared" si="37"/>
        <v>1</v>
      </c>
      <c r="M452">
        <f t="shared" si="38"/>
        <v>1</v>
      </c>
      <c r="N452" s="6">
        <f t="shared" si="39"/>
        <v>45680</v>
      </c>
    </row>
    <row r="453" spans="1:14" x14ac:dyDescent="0.3">
      <c r="A453">
        <v>532</v>
      </c>
      <c r="B453">
        <v>10009</v>
      </c>
      <c r="C453" t="s">
        <v>555</v>
      </c>
      <c r="D453" t="s">
        <v>29</v>
      </c>
      <c r="E453" t="s">
        <v>11</v>
      </c>
      <c r="F453" t="s">
        <v>12</v>
      </c>
      <c r="G453" t="s">
        <v>21</v>
      </c>
      <c r="H453">
        <v>13137.08</v>
      </c>
      <c r="I453">
        <v>0</v>
      </c>
      <c r="J453" t="str">
        <f t="shared" si="35"/>
        <v>High</v>
      </c>
      <c r="K453" t="str">
        <f t="shared" si="36"/>
        <v>Normal</v>
      </c>
      <c r="L453">
        <f t="shared" si="37"/>
        <v>1</v>
      </c>
      <c r="M453">
        <f t="shared" si="38"/>
        <v>1</v>
      </c>
      <c r="N453" s="6">
        <f t="shared" si="39"/>
        <v>45680</v>
      </c>
    </row>
    <row r="454" spans="1:14" x14ac:dyDescent="0.3">
      <c r="A454">
        <v>533</v>
      </c>
      <c r="B454">
        <v>10018</v>
      </c>
      <c r="C454" t="s">
        <v>556</v>
      </c>
      <c r="D454" t="s">
        <v>29</v>
      </c>
      <c r="E454" t="s">
        <v>11</v>
      </c>
      <c r="F454" t="s">
        <v>12</v>
      </c>
      <c r="G454" t="s">
        <v>21</v>
      </c>
      <c r="H454">
        <v>56585.45</v>
      </c>
      <c r="I454">
        <v>1</v>
      </c>
      <c r="J454" t="str">
        <f t="shared" si="35"/>
        <v>High</v>
      </c>
      <c r="K454" t="str">
        <f t="shared" si="36"/>
        <v>High Risk</v>
      </c>
      <c r="L454">
        <f t="shared" si="37"/>
        <v>1</v>
      </c>
      <c r="M454">
        <f t="shared" si="38"/>
        <v>1</v>
      </c>
      <c r="N454" s="6">
        <f t="shared" si="39"/>
        <v>45680</v>
      </c>
    </row>
    <row r="455" spans="1:14" x14ac:dyDescent="0.3">
      <c r="A455">
        <v>534</v>
      </c>
      <c r="B455">
        <v>10057</v>
      </c>
      <c r="C455" t="s">
        <v>557</v>
      </c>
      <c r="D455" t="s">
        <v>23</v>
      </c>
      <c r="E455" t="s">
        <v>24</v>
      </c>
      <c r="F455" t="s">
        <v>17</v>
      </c>
      <c r="G455" t="s">
        <v>25</v>
      </c>
      <c r="H455">
        <v>44281</v>
      </c>
      <c r="I455">
        <v>0</v>
      </c>
      <c r="J455" t="str">
        <f t="shared" si="35"/>
        <v>High</v>
      </c>
      <c r="K455" t="str">
        <f t="shared" si="36"/>
        <v>Normal</v>
      </c>
      <c r="L455">
        <f t="shared" si="37"/>
        <v>1</v>
      </c>
      <c r="M455">
        <f t="shared" si="38"/>
        <v>1</v>
      </c>
      <c r="N455" s="6">
        <f t="shared" si="39"/>
        <v>45680</v>
      </c>
    </row>
    <row r="456" spans="1:14" x14ac:dyDescent="0.3">
      <c r="A456">
        <v>535</v>
      </c>
      <c r="B456">
        <v>10095</v>
      </c>
      <c r="C456" t="s">
        <v>558</v>
      </c>
      <c r="D456" t="s">
        <v>20</v>
      </c>
      <c r="E456" t="s">
        <v>16</v>
      </c>
      <c r="F456" t="s">
        <v>17</v>
      </c>
      <c r="G456" t="s">
        <v>18</v>
      </c>
      <c r="H456">
        <v>79741.39</v>
      </c>
      <c r="I456">
        <v>0</v>
      </c>
      <c r="J456" t="str">
        <f t="shared" si="35"/>
        <v>High</v>
      </c>
      <c r="K456" t="str">
        <f t="shared" si="36"/>
        <v>Normal</v>
      </c>
      <c r="L456">
        <f t="shared" si="37"/>
        <v>1</v>
      </c>
      <c r="M456">
        <f t="shared" si="38"/>
        <v>1</v>
      </c>
      <c r="N456" s="6">
        <f t="shared" si="39"/>
        <v>45680</v>
      </c>
    </row>
    <row r="457" spans="1:14" x14ac:dyDescent="0.3">
      <c r="A457">
        <v>536</v>
      </c>
      <c r="B457">
        <v>10000</v>
      </c>
      <c r="C457" t="s">
        <v>559</v>
      </c>
      <c r="D457" t="s">
        <v>23</v>
      </c>
      <c r="E457" t="s">
        <v>24</v>
      </c>
      <c r="F457" t="s">
        <v>12</v>
      </c>
      <c r="G457" t="s">
        <v>25</v>
      </c>
      <c r="H457">
        <v>72450.83</v>
      </c>
      <c r="I457">
        <v>0</v>
      </c>
      <c r="J457" t="str">
        <f t="shared" si="35"/>
        <v>High</v>
      </c>
      <c r="K457" t="str">
        <f t="shared" si="36"/>
        <v>Normal</v>
      </c>
      <c r="L457">
        <f t="shared" si="37"/>
        <v>1</v>
      </c>
      <c r="M457">
        <f t="shared" si="38"/>
        <v>1</v>
      </c>
      <c r="N457" s="6">
        <f t="shared" si="39"/>
        <v>45680</v>
      </c>
    </row>
    <row r="458" spans="1:14" x14ac:dyDescent="0.3">
      <c r="A458">
        <v>537</v>
      </c>
      <c r="B458">
        <v>10068</v>
      </c>
      <c r="C458" t="s">
        <v>560</v>
      </c>
      <c r="D458" t="s">
        <v>29</v>
      </c>
      <c r="E458" t="s">
        <v>16</v>
      </c>
      <c r="F458" t="s">
        <v>17</v>
      </c>
      <c r="G458" t="s">
        <v>21</v>
      </c>
      <c r="H458">
        <v>69071.53</v>
      </c>
      <c r="I458">
        <v>0</v>
      </c>
      <c r="J458" t="str">
        <f t="shared" si="35"/>
        <v>High</v>
      </c>
      <c r="K458" t="str">
        <f t="shared" si="36"/>
        <v>Normal</v>
      </c>
      <c r="L458">
        <f t="shared" si="37"/>
        <v>1</v>
      </c>
      <c r="M458">
        <f t="shared" si="38"/>
        <v>1</v>
      </c>
      <c r="N458" s="6">
        <f t="shared" si="39"/>
        <v>45680</v>
      </c>
    </row>
    <row r="459" spans="1:14" x14ac:dyDescent="0.3">
      <c r="A459">
        <v>538</v>
      </c>
      <c r="B459">
        <v>10003</v>
      </c>
      <c r="C459" t="s">
        <v>561</v>
      </c>
      <c r="D459" t="s">
        <v>10</v>
      </c>
      <c r="E459" t="s">
        <v>16</v>
      </c>
      <c r="F459" t="s">
        <v>12</v>
      </c>
      <c r="G459" t="s">
        <v>25</v>
      </c>
      <c r="H459">
        <v>34120.43</v>
      </c>
      <c r="I459">
        <v>0</v>
      </c>
      <c r="J459" t="str">
        <f t="shared" si="35"/>
        <v>High</v>
      </c>
      <c r="K459" t="str">
        <f t="shared" si="36"/>
        <v>Normal</v>
      </c>
      <c r="L459">
        <f t="shared" si="37"/>
        <v>1</v>
      </c>
      <c r="M459">
        <f t="shared" si="38"/>
        <v>1</v>
      </c>
      <c r="N459" s="6">
        <f t="shared" si="39"/>
        <v>45680</v>
      </c>
    </row>
    <row r="460" spans="1:14" x14ac:dyDescent="0.3">
      <c r="A460">
        <v>539</v>
      </c>
      <c r="B460">
        <v>10015</v>
      </c>
      <c r="C460" t="s">
        <v>562</v>
      </c>
      <c r="D460" t="s">
        <v>15</v>
      </c>
      <c r="E460" t="s">
        <v>16</v>
      </c>
      <c r="F460" t="s">
        <v>17</v>
      </c>
      <c r="G460" t="s">
        <v>25</v>
      </c>
      <c r="H460">
        <v>80515.88</v>
      </c>
      <c r="I460">
        <v>0</v>
      </c>
      <c r="J460" t="str">
        <f t="shared" si="35"/>
        <v>High</v>
      </c>
      <c r="K460" t="str">
        <f t="shared" si="36"/>
        <v>Normal</v>
      </c>
      <c r="L460">
        <f t="shared" si="37"/>
        <v>1</v>
      </c>
      <c r="M460">
        <f t="shared" si="38"/>
        <v>1</v>
      </c>
      <c r="N460" s="6">
        <f t="shared" si="39"/>
        <v>45680</v>
      </c>
    </row>
    <row r="461" spans="1:14" x14ac:dyDescent="0.3">
      <c r="A461">
        <v>540</v>
      </c>
      <c r="B461">
        <v>10023</v>
      </c>
      <c r="C461" t="s">
        <v>563</v>
      </c>
      <c r="D461" t="s">
        <v>20</v>
      </c>
      <c r="E461" t="s">
        <v>16</v>
      </c>
      <c r="F461" t="s">
        <v>17</v>
      </c>
      <c r="G461" t="s">
        <v>18</v>
      </c>
      <c r="H461">
        <v>5333.89</v>
      </c>
      <c r="I461">
        <v>0</v>
      </c>
      <c r="J461" t="str">
        <f t="shared" si="35"/>
        <v>High</v>
      </c>
      <c r="K461" t="str">
        <f t="shared" si="36"/>
        <v>Normal</v>
      </c>
      <c r="L461">
        <f t="shared" si="37"/>
        <v>1</v>
      </c>
      <c r="M461">
        <f t="shared" si="38"/>
        <v>1</v>
      </c>
      <c r="N461" s="6">
        <f t="shared" si="39"/>
        <v>45680</v>
      </c>
    </row>
    <row r="462" spans="1:14" x14ac:dyDescent="0.3">
      <c r="A462">
        <v>541</v>
      </c>
      <c r="B462">
        <v>10079</v>
      </c>
      <c r="C462" t="s">
        <v>564</v>
      </c>
      <c r="D462" t="s">
        <v>20</v>
      </c>
      <c r="E462" t="s">
        <v>16</v>
      </c>
      <c r="F462" t="s">
        <v>17</v>
      </c>
      <c r="G462" t="s">
        <v>31</v>
      </c>
      <c r="H462">
        <v>16046.53</v>
      </c>
      <c r="I462">
        <v>0</v>
      </c>
      <c r="J462" t="str">
        <f t="shared" si="35"/>
        <v>High</v>
      </c>
      <c r="K462" t="str">
        <f t="shared" si="36"/>
        <v>Normal</v>
      </c>
      <c r="L462">
        <f t="shared" si="37"/>
        <v>1</v>
      </c>
      <c r="M462">
        <f t="shared" si="38"/>
        <v>1</v>
      </c>
      <c r="N462" s="6">
        <f t="shared" si="39"/>
        <v>45680</v>
      </c>
    </row>
    <row r="463" spans="1:14" x14ac:dyDescent="0.3">
      <c r="A463">
        <v>542</v>
      </c>
      <c r="B463">
        <v>10001</v>
      </c>
      <c r="C463" t="s">
        <v>565</v>
      </c>
      <c r="D463" t="s">
        <v>23</v>
      </c>
      <c r="E463" t="s">
        <v>16</v>
      </c>
      <c r="F463" t="s">
        <v>12</v>
      </c>
      <c r="G463" t="s">
        <v>21</v>
      </c>
      <c r="H463">
        <v>33628.76</v>
      </c>
      <c r="I463">
        <v>0</v>
      </c>
      <c r="J463" t="str">
        <f t="shared" si="35"/>
        <v>High</v>
      </c>
      <c r="K463" t="str">
        <f t="shared" si="36"/>
        <v>Normal</v>
      </c>
      <c r="L463">
        <f t="shared" si="37"/>
        <v>1</v>
      </c>
      <c r="M463">
        <f t="shared" si="38"/>
        <v>1</v>
      </c>
      <c r="N463" s="6">
        <f t="shared" si="39"/>
        <v>45680</v>
      </c>
    </row>
    <row r="464" spans="1:14" x14ac:dyDescent="0.3">
      <c r="A464">
        <v>543</v>
      </c>
      <c r="B464">
        <v>10091</v>
      </c>
      <c r="C464" t="s">
        <v>566</v>
      </c>
      <c r="D464" t="s">
        <v>20</v>
      </c>
      <c r="E464" t="s">
        <v>16</v>
      </c>
      <c r="F464" t="s">
        <v>17</v>
      </c>
      <c r="G464" t="s">
        <v>18</v>
      </c>
      <c r="H464">
        <v>7773.06</v>
      </c>
      <c r="I464">
        <v>0</v>
      </c>
      <c r="J464" t="str">
        <f t="shared" si="35"/>
        <v>High</v>
      </c>
      <c r="K464" t="str">
        <f t="shared" si="36"/>
        <v>Normal</v>
      </c>
      <c r="L464">
        <f t="shared" si="37"/>
        <v>1</v>
      </c>
      <c r="M464">
        <f t="shared" si="38"/>
        <v>1</v>
      </c>
      <c r="N464" s="6">
        <f t="shared" si="39"/>
        <v>45680</v>
      </c>
    </row>
    <row r="465" spans="1:14" x14ac:dyDescent="0.3">
      <c r="A465">
        <v>544</v>
      </c>
      <c r="B465">
        <v>10031</v>
      </c>
      <c r="C465" t="s">
        <v>567</v>
      </c>
      <c r="D465" t="s">
        <v>29</v>
      </c>
      <c r="E465" t="s">
        <v>24</v>
      </c>
      <c r="F465" t="s">
        <v>17</v>
      </c>
      <c r="G465" t="s">
        <v>25</v>
      </c>
      <c r="H465">
        <v>23575.93</v>
      </c>
      <c r="I465">
        <v>0</v>
      </c>
      <c r="J465" t="str">
        <f t="shared" si="35"/>
        <v>High</v>
      </c>
      <c r="K465" t="str">
        <f t="shared" si="36"/>
        <v>Normal</v>
      </c>
      <c r="L465">
        <f t="shared" si="37"/>
        <v>1</v>
      </c>
      <c r="M465">
        <f t="shared" si="38"/>
        <v>1</v>
      </c>
      <c r="N465" s="6">
        <f t="shared" si="39"/>
        <v>45680</v>
      </c>
    </row>
    <row r="466" spans="1:14" x14ac:dyDescent="0.3">
      <c r="A466">
        <v>545</v>
      </c>
      <c r="B466">
        <v>10090</v>
      </c>
      <c r="C466" t="s">
        <v>568</v>
      </c>
      <c r="D466" t="s">
        <v>29</v>
      </c>
      <c r="E466" t="s">
        <v>11</v>
      </c>
      <c r="F466" t="s">
        <v>12</v>
      </c>
      <c r="G466" t="s">
        <v>25</v>
      </c>
      <c r="H466">
        <v>83032.08</v>
      </c>
      <c r="I466">
        <v>1</v>
      </c>
      <c r="J466" t="str">
        <f t="shared" si="35"/>
        <v>High</v>
      </c>
      <c r="K466" t="str">
        <f t="shared" si="36"/>
        <v>High Risk</v>
      </c>
      <c r="L466">
        <f t="shared" si="37"/>
        <v>1</v>
      </c>
      <c r="M466">
        <f t="shared" si="38"/>
        <v>1</v>
      </c>
      <c r="N466" s="6">
        <f t="shared" si="39"/>
        <v>45680</v>
      </c>
    </row>
    <row r="467" spans="1:14" x14ac:dyDescent="0.3">
      <c r="A467">
        <v>546</v>
      </c>
      <c r="B467">
        <v>10083</v>
      </c>
      <c r="C467" t="s">
        <v>569</v>
      </c>
      <c r="D467" t="s">
        <v>23</v>
      </c>
      <c r="E467" t="s">
        <v>11</v>
      </c>
      <c r="F467" t="s">
        <v>12</v>
      </c>
      <c r="G467" t="s">
        <v>31</v>
      </c>
      <c r="H467">
        <v>94830.33</v>
      </c>
      <c r="I467">
        <v>1</v>
      </c>
      <c r="J467" t="str">
        <f t="shared" si="35"/>
        <v>High</v>
      </c>
      <c r="K467" t="str">
        <f t="shared" si="36"/>
        <v>High Risk</v>
      </c>
      <c r="L467">
        <f t="shared" si="37"/>
        <v>1</v>
      </c>
      <c r="M467">
        <f t="shared" si="38"/>
        <v>1</v>
      </c>
      <c r="N467" s="6">
        <f t="shared" si="39"/>
        <v>45680</v>
      </c>
    </row>
    <row r="468" spans="1:14" x14ac:dyDescent="0.3">
      <c r="A468">
        <v>547</v>
      </c>
      <c r="B468">
        <v>10023</v>
      </c>
      <c r="C468" t="s">
        <v>570</v>
      </c>
      <c r="D468" t="s">
        <v>29</v>
      </c>
      <c r="E468" t="s">
        <v>24</v>
      </c>
      <c r="F468" t="s">
        <v>12</v>
      </c>
      <c r="G468" t="s">
        <v>21</v>
      </c>
      <c r="H468">
        <v>30529.78</v>
      </c>
      <c r="I468">
        <v>0</v>
      </c>
      <c r="J468" t="str">
        <f t="shared" si="35"/>
        <v>High</v>
      </c>
      <c r="K468" t="str">
        <f t="shared" si="36"/>
        <v>Normal</v>
      </c>
      <c r="L468">
        <f t="shared" si="37"/>
        <v>1</v>
      </c>
      <c r="M468">
        <f t="shared" si="38"/>
        <v>1</v>
      </c>
      <c r="N468" s="6">
        <f t="shared" si="39"/>
        <v>45680</v>
      </c>
    </row>
    <row r="469" spans="1:14" x14ac:dyDescent="0.3">
      <c r="A469">
        <v>548</v>
      </c>
      <c r="B469">
        <v>10011</v>
      </c>
      <c r="C469" t="s">
        <v>571</v>
      </c>
      <c r="D469" t="s">
        <v>10</v>
      </c>
      <c r="E469" t="s">
        <v>24</v>
      </c>
      <c r="F469" t="s">
        <v>12</v>
      </c>
      <c r="G469" t="s">
        <v>21</v>
      </c>
      <c r="H469">
        <v>26525.13</v>
      </c>
      <c r="I469">
        <v>0</v>
      </c>
      <c r="J469" t="str">
        <f t="shared" si="35"/>
        <v>High</v>
      </c>
      <c r="K469" t="str">
        <f t="shared" si="36"/>
        <v>Normal</v>
      </c>
      <c r="L469">
        <f t="shared" si="37"/>
        <v>1</v>
      </c>
      <c r="M469">
        <f t="shared" si="38"/>
        <v>1</v>
      </c>
      <c r="N469" s="6">
        <f t="shared" si="39"/>
        <v>45680</v>
      </c>
    </row>
    <row r="470" spans="1:14" x14ac:dyDescent="0.3">
      <c r="A470">
        <v>549</v>
      </c>
      <c r="B470">
        <v>10049</v>
      </c>
      <c r="C470" t="s">
        <v>572</v>
      </c>
      <c r="D470" t="s">
        <v>23</v>
      </c>
      <c r="E470" t="s">
        <v>24</v>
      </c>
      <c r="F470" t="s">
        <v>17</v>
      </c>
      <c r="G470" t="s">
        <v>13</v>
      </c>
      <c r="H470">
        <v>28061.279999999999</v>
      </c>
      <c r="I470">
        <v>0</v>
      </c>
      <c r="J470" t="str">
        <f t="shared" si="35"/>
        <v>High</v>
      </c>
      <c r="K470" t="str">
        <f t="shared" si="36"/>
        <v>Normal</v>
      </c>
      <c r="L470">
        <f t="shared" si="37"/>
        <v>1</v>
      </c>
      <c r="M470">
        <f t="shared" si="38"/>
        <v>1</v>
      </c>
      <c r="N470" s="6">
        <f t="shared" si="39"/>
        <v>45680</v>
      </c>
    </row>
    <row r="471" spans="1:14" x14ac:dyDescent="0.3">
      <c r="A471">
        <v>550</v>
      </c>
      <c r="B471">
        <v>10034</v>
      </c>
      <c r="C471" t="s">
        <v>573</v>
      </c>
      <c r="D471" t="s">
        <v>10</v>
      </c>
      <c r="E471" t="s">
        <v>24</v>
      </c>
      <c r="F471" t="s">
        <v>17</v>
      </c>
      <c r="G471" t="s">
        <v>21</v>
      </c>
      <c r="H471">
        <v>27844.14</v>
      </c>
      <c r="I471">
        <v>0</v>
      </c>
      <c r="J471" t="str">
        <f t="shared" si="35"/>
        <v>High</v>
      </c>
      <c r="K471" t="str">
        <f t="shared" si="36"/>
        <v>Normal</v>
      </c>
      <c r="L471">
        <f t="shared" si="37"/>
        <v>1</v>
      </c>
      <c r="M471">
        <f t="shared" si="38"/>
        <v>1</v>
      </c>
      <c r="N471" s="6">
        <f t="shared" si="39"/>
        <v>45680</v>
      </c>
    </row>
    <row r="472" spans="1:14" x14ac:dyDescent="0.3">
      <c r="A472">
        <v>551</v>
      </c>
      <c r="B472">
        <v>10032</v>
      </c>
      <c r="C472" t="s">
        <v>574</v>
      </c>
      <c r="D472" t="s">
        <v>15</v>
      </c>
      <c r="E472" t="s">
        <v>16</v>
      </c>
      <c r="F472" t="s">
        <v>17</v>
      </c>
      <c r="G472" t="s">
        <v>31</v>
      </c>
      <c r="H472">
        <v>3689.43</v>
      </c>
      <c r="I472">
        <v>0</v>
      </c>
      <c r="J472" t="str">
        <f t="shared" si="35"/>
        <v>High</v>
      </c>
      <c r="K472" t="str">
        <f t="shared" si="36"/>
        <v>Normal</v>
      </c>
      <c r="L472">
        <f t="shared" si="37"/>
        <v>1</v>
      </c>
      <c r="M472">
        <f t="shared" si="38"/>
        <v>1</v>
      </c>
      <c r="N472" s="6">
        <f t="shared" si="39"/>
        <v>45680</v>
      </c>
    </row>
    <row r="473" spans="1:14" x14ac:dyDescent="0.3">
      <c r="A473">
        <v>552</v>
      </c>
      <c r="B473">
        <v>10032</v>
      </c>
      <c r="C473" t="s">
        <v>575</v>
      </c>
      <c r="D473" t="s">
        <v>10</v>
      </c>
      <c r="E473" t="s">
        <v>11</v>
      </c>
      <c r="F473" t="s">
        <v>17</v>
      </c>
      <c r="G473" t="s">
        <v>13</v>
      </c>
      <c r="H473">
        <v>92698.94</v>
      </c>
      <c r="I473">
        <v>1</v>
      </c>
      <c r="J473" t="str">
        <f t="shared" si="35"/>
        <v>High</v>
      </c>
      <c r="K473" t="str">
        <f t="shared" si="36"/>
        <v>High Risk</v>
      </c>
      <c r="L473">
        <f t="shared" si="37"/>
        <v>1</v>
      </c>
      <c r="M473">
        <f t="shared" si="38"/>
        <v>1</v>
      </c>
      <c r="N473" s="6">
        <f t="shared" si="39"/>
        <v>45680</v>
      </c>
    </row>
    <row r="474" spans="1:14" x14ac:dyDescent="0.3">
      <c r="A474">
        <v>505</v>
      </c>
      <c r="B474">
        <v>10085</v>
      </c>
      <c r="C474" t="s">
        <v>528</v>
      </c>
      <c r="D474" t="s">
        <v>20</v>
      </c>
      <c r="E474" t="s">
        <v>24</v>
      </c>
      <c r="F474" t="s">
        <v>12</v>
      </c>
      <c r="G474" t="s">
        <v>18</v>
      </c>
      <c r="H474">
        <v>55984.6</v>
      </c>
      <c r="I474">
        <v>0</v>
      </c>
      <c r="J474" t="str">
        <f t="shared" si="35"/>
        <v>High</v>
      </c>
      <c r="K474" t="str">
        <f t="shared" si="36"/>
        <v>Normal</v>
      </c>
      <c r="L474">
        <f t="shared" si="37"/>
        <v>1</v>
      </c>
      <c r="M474">
        <f t="shared" si="38"/>
        <v>1</v>
      </c>
      <c r="N474" s="6">
        <f t="shared" si="39"/>
        <v>45679</v>
      </c>
    </row>
    <row r="475" spans="1:14" x14ac:dyDescent="0.3">
      <c r="A475">
        <v>506</v>
      </c>
      <c r="B475">
        <v>10056</v>
      </c>
      <c r="C475" t="s">
        <v>529</v>
      </c>
      <c r="D475" t="s">
        <v>15</v>
      </c>
      <c r="E475" t="s">
        <v>24</v>
      </c>
      <c r="F475" t="s">
        <v>12</v>
      </c>
      <c r="G475" t="s">
        <v>13</v>
      </c>
      <c r="H475">
        <v>82865.960000000006</v>
      </c>
      <c r="I475">
        <v>0</v>
      </c>
      <c r="J475" t="str">
        <f t="shared" si="35"/>
        <v>High</v>
      </c>
      <c r="K475" t="str">
        <f t="shared" si="36"/>
        <v>Normal</v>
      </c>
      <c r="L475">
        <f t="shared" si="37"/>
        <v>1</v>
      </c>
      <c r="M475">
        <f t="shared" si="38"/>
        <v>1</v>
      </c>
      <c r="N475" s="6">
        <f t="shared" si="39"/>
        <v>45679</v>
      </c>
    </row>
    <row r="476" spans="1:14" x14ac:dyDescent="0.3">
      <c r="A476">
        <v>507</v>
      </c>
      <c r="B476">
        <v>10028</v>
      </c>
      <c r="C476" t="s">
        <v>530</v>
      </c>
      <c r="D476" t="s">
        <v>20</v>
      </c>
      <c r="E476" t="s">
        <v>11</v>
      </c>
      <c r="F476" t="s">
        <v>12</v>
      </c>
      <c r="G476" t="s">
        <v>31</v>
      </c>
      <c r="H476">
        <v>71313.31</v>
      </c>
      <c r="I476">
        <v>1</v>
      </c>
      <c r="J476" t="str">
        <f t="shared" si="35"/>
        <v>High</v>
      </c>
      <c r="K476" t="str">
        <f t="shared" si="36"/>
        <v>High Risk</v>
      </c>
      <c r="L476">
        <f t="shared" si="37"/>
        <v>1</v>
      </c>
      <c r="M476">
        <f t="shared" si="38"/>
        <v>1</v>
      </c>
      <c r="N476" s="6">
        <f t="shared" si="39"/>
        <v>45679</v>
      </c>
    </row>
    <row r="477" spans="1:14" x14ac:dyDescent="0.3">
      <c r="A477">
        <v>508</v>
      </c>
      <c r="B477">
        <v>10077</v>
      </c>
      <c r="C477" t="s">
        <v>531</v>
      </c>
      <c r="D477" t="s">
        <v>15</v>
      </c>
      <c r="E477" t="s">
        <v>16</v>
      </c>
      <c r="F477" t="s">
        <v>12</v>
      </c>
      <c r="G477" t="s">
        <v>21</v>
      </c>
      <c r="H477">
        <v>69699.839999999997</v>
      </c>
      <c r="I477">
        <v>0</v>
      </c>
      <c r="J477" t="str">
        <f t="shared" si="35"/>
        <v>High</v>
      </c>
      <c r="K477" t="str">
        <f t="shared" si="36"/>
        <v>Normal</v>
      </c>
      <c r="L477">
        <f t="shared" si="37"/>
        <v>1</v>
      </c>
      <c r="M477">
        <f t="shared" si="38"/>
        <v>1</v>
      </c>
      <c r="N477" s="6">
        <f t="shared" si="39"/>
        <v>45679</v>
      </c>
    </row>
    <row r="478" spans="1:14" x14ac:dyDescent="0.3">
      <c r="A478">
        <v>509</v>
      </c>
      <c r="B478">
        <v>10091</v>
      </c>
      <c r="C478" t="s">
        <v>532</v>
      </c>
      <c r="D478" t="s">
        <v>10</v>
      </c>
      <c r="E478" t="s">
        <v>16</v>
      </c>
      <c r="F478" t="s">
        <v>12</v>
      </c>
      <c r="G478" t="s">
        <v>21</v>
      </c>
      <c r="H478">
        <v>32502.15</v>
      </c>
      <c r="I478">
        <v>0</v>
      </c>
      <c r="J478" t="str">
        <f t="shared" si="35"/>
        <v>High</v>
      </c>
      <c r="K478" t="str">
        <f t="shared" si="36"/>
        <v>Normal</v>
      </c>
      <c r="L478">
        <f t="shared" si="37"/>
        <v>1</v>
      </c>
      <c r="M478">
        <f t="shared" si="38"/>
        <v>1</v>
      </c>
      <c r="N478" s="6">
        <f t="shared" si="39"/>
        <v>45679</v>
      </c>
    </row>
    <row r="479" spans="1:14" x14ac:dyDescent="0.3">
      <c r="A479">
        <v>510</v>
      </c>
      <c r="B479">
        <v>10068</v>
      </c>
      <c r="C479" t="s">
        <v>533</v>
      </c>
      <c r="D479" t="s">
        <v>15</v>
      </c>
      <c r="E479" t="s">
        <v>24</v>
      </c>
      <c r="F479" t="s">
        <v>17</v>
      </c>
      <c r="G479" t="s">
        <v>18</v>
      </c>
      <c r="H479">
        <v>23466.3</v>
      </c>
      <c r="I479">
        <v>0</v>
      </c>
      <c r="J479" t="str">
        <f t="shared" si="35"/>
        <v>High</v>
      </c>
      <c r="K479" t="str">
        <f t="shared" si="36"/>
        <v>Normal</v>
      </c>
      <c r="L479">
        <f t="shared" si="37"/>
        <v>1</v>
      </c>
      <c r="M479">
        <f t="shared" si="38"/>
        <v>1</v>
      </c>
      <c r="N479" s="6">
        <f t="shared" si="39"/>
        <v>45679</v>
      </c>
    </row>
    <row r="480" spans="1:14" x14ac:dyDescent="0.3">
      <c r="A480">
        <v>511</v>
      </c>
      <c r="B480">
        <v>10046</v>
      </c>
      <c r="C480" t="s">
        <v>534</v>
      </c>
      <c r="D480" t="s">
        <v>20</v>
      </c>
      <c r="E480" t="s">
        <v>16</v>
      </c>
      <c r="F480" t="s">
        <v>17</v>
      </c>
      <c r="G480" t="s">
        <v>21</v>
      </c>
      <c r="H480">
        <v>21167.53</v>
      </c>
      <c r="I480">
        <v>0</v>
      </c>
      <c r="J480" t="str">
        <f t="shared" si="35"/>
        <v>High</v>
      </c>
      <c r="K480" t="str">
        <f t="shared" si="36"/>
        <v>Normal</v>
      </c>
      <c r="L480">
        <f t="shared" si="37"/>
        <v>1</v>
      </c>
      <c r="M480">
        <f t="shared" si="38"/>
        <v>1</v>
      </c>
      <c r="N480" s="6">
        <f t="shared" si="39"/>
        <v>45679</v>
      </c>
    </row>
    <row r="481" spans="1:14" x14ac:dyDescent="0.3">
      <c r="A481">
        <v>512</v>
      </c>
      <c r="B481">
        <v>10093</v>
      </c>
      <c r="C481" t="s">
        <v>535</v>
      </c>
      <c r="D481" t="s">
        <v>29</v>
      </c>
      <c r="E481" t="s">
        <v>24</v>
      </c>
      <c r="F481" t="s">
        <v>12</v>
      </c>
      <c r="G481" t="s">
        <v>31</v>
      </c>
      <c r="H481">
        <v>85733.45</v>
      </c>
      <c r="I481">
        <v>0</v>
      </c>
      <c r="J481" t="str">
        <f t="shared" si="35"/>
        <v>High</v>
      </c>
      <c r="K481" t="str">
        <f t="shared" si="36"/>
        <v>Normal</v>
      </c>
      <c r="L481">
        <f t="shared" si="37"/>
        <v>1</v>
      </c>
      <c r="M481">
        <f t="shared" si="38"/>
        <v>1</v>
      </c>
      <c r="N481" s="6">
        <f t="shared" si="39"/>
        <v>45679</v>
      </c>
    </row>
    <row r="482" spans="1:14" x14ac:dyDescent="0.3">
      <c r="A482">
        <v>513</v>
      </c>
      <c r="B482">
        <v>10061</v>
      </c>
      <c r="C482" t="s">
        <v>536</v>
      </c>
      <c r="D482" t="s">
        <v>15</v>
      </c>
      <c r="E482" t="s">
        <v>11</v>
      </c>
      <c r="F482" t="s">
        <v>12</v>
      </c>
      <c r="G482" t="s">
        <v>18</v>
      </c>
      <c r="H482">
        <v>82060.639999999999</v>
      </c>
      <c r="I482">
        <v>1</v>
      </c>
      <c r="J482" t="str">
        <f t="shared" si="35"/>
        <v>High</v>
      </c>
      <c r="K482" t="str">
        <f t="shared" si="36"/>
        <v>High Risk</v>
      </c>
      <c r="L482">
        <f t="shared" si="37"/>
        <v>1</v>
      </c>
      <c r="M482">
        <f t="shared" si="38"/>
        <v>1</v>
      </c>
      <c r="N482" s="6">
        <f t="shared" si="39"/>
        <v>45679</v>
      </c>
    </row>
    <row r="483" spans="1:14" x14ac:dyDescent="0.3">
      <c r="A483">
        <v>514</v>
      </c>
      <c r="B483">
        <v>10068</v>
      </c>
      <c r="C483" t="s">
        <v>537</v>
      </c>
      <c r="D483" t="s">
        <v>15</v>
      </c>
      <c r="E483" t="s">
        <v>16</v>
      </c>
      <c r="F483" t="s">
        <v>17</v>
      </c>
      <c r="G483" t="s">
        <v>13</v>
      </c>
      <c r="H483">
        <v>44113.3</v>
      </c>
      <c r="I483">
        <v>0</v>
      </c>
      <c r="J483" t="str">
        <f t="shared" si="35"/>
        <v>High</v>
      </c>
      <c r="K483" t="str">
        <f t="shared" si="36"/>
        <v>Normal</v>
      </c>
      <c r="L483">
        <f t="shared" si="37"/>
        <v>1</v>
      </c>
      <c r="M483">
        <f t="shared" si="38"/>
        <v>1</v>
      </c>
      <c r="N483" s="6">
        <f t="shared" si="39"/>
        <v>45679</v>
      </c>
    </row>
    <row r="484" spans="1:14" x14ac:dyDescent="0.3">
      <c r="A484">
        <v>515</v>
      </c>
      <c r="B484">
        <v>10075</v>
      </c>
      <c r="C484" t="s">
        <v>538</v>
      </c>
      <c r="D484" t="s">
        <v>23</v>
      </c>
      <c r="E484" t="s">
        <v>11</v>
      </c>
      <c r="F484" t="s">
        <v>17</v>
      </c>
      <c r="G484" t="s">
        <v>21</v>
      </c>
      <c r="H484">
        <v>13327.22</v>
      </c>
      <c r="I484">
        <v>0</v>
      </c>
      <c r="J484" t="str">
        <f t="shared" si="35"/>
        <v>High</v>
      </c>
      <c r="K484" t="str">
        <f t="shared" si="36"/>
        <v>Normal</v>
      </c>
      <c r="L484">
        <f t="shared" si="37"/>
        <v>1</v>
      </c>
      <c r="M484">
        <f t="shared" si="38"/>
        <v>1</v>
      </c>
      <c r="N484" s="6">
        <f t="shared" si="39"/>
        <v>45679</v>
      </c>
    </row>
    <row r="485" spans="1:14" x14ac:dyDescent="0.3">
      <c r="A485">
        <v>516</v>
      </c>
      <c r="B485">
        <v>10015</v>
      </c>
      <c r="C485" t="s">
        <v>539</v>
      </c>
      <c r="D485" t="s">
        <v>29</v>
      </c>
      <c r="E485" t="s">
        <v>16</v>
      </c>
      <c r="F485" t="s">
        <v>17</v>
      </c>
      <c r="G485" t="s">
        <v>25</v>
      </c>
      <c r="H485">
        <v>38287</v>
      </c>
      <c r="I485">
        <v>0</v>
      </c>
      <c r="J485" t="str">
        <f t="shared" si="35"/>
        <v>High</v>
      </c>
      <c r="K485" t="str">
        <f t="shared" si="36"/>
        <v>Normal</v>
      </c>
      <c r="L485">
        <f t="shared" si="37"/>
        <v>1</v>
      </c>
      <c r="M485">
        <f t="shared" si="38"/>
        <v>1</v>
      </c>
      <c r="N485" s="6">
        <f t="shared" si="39"/>
        <v>45679</v>
      </c>
    </row>
    <row r="486" spans="1:14" x14ac:dyDescent="0.3">
      <c r="A486">
        <v>517</v>
      </c>
      <c r="B486">
        <v>10089</v>
      </c>
      <c r="C486" t="s">
        <v>540</v>
      </c>
      <c r="D486" t="s">
        <v>10</v>
      </c>
      <c r="E486" t="s">
        <v>11</v>
      </c>
      <c r="F486" t="s">
        <v>17</v>
      </c>
      <c r="G486" t="s">
        <v>21</v>
      </c>
      <c r="H486">
        <v>61972.41</v>
      </c>
      <c r="I486">
        <v>1</v>
      </c>
      <c r="J486" t="str">
        <f t="shared" si="35"/>
        <v>High</v>
      </c>
      <c r="K486" t="str">
        <f t="shared" si="36"/>
        <v>High Risk</v>
      </c>
      <c r="L486">
        <f t="shared" si="37"/>
        <v>1</v>
      </c>
      <c r="M486">
        <f t="shared" si="38"/>
        <v>1</v>
      </c>
      <c r="N486" s="6">
        <f t="shared" si="39"/>
        <v>45679</v>
      </c>
    </row>
    <row r="487" spans="1:14" x14ac:dyDescent="0.3">
      <c r="A487">
        <v>518</v>
      </c>
      <c r="B487">
        <v>10089</v>
      </c>
      <c r="C487" t="s">
        <v>541</v>
      </c>
      <c r="D487" t="s">
        <v>20</v>
      </c>
      <c r="E487" t="s">
        <v>16</v>
      </c>
      <c r="F487" t="s">
        <v>12</v>
      </c>
      <c r="G487" t="s">
        <v>13</v>
      </c>
      <c r="H487">
        <v>45494.879999999997</v>
      </c>
      <c r="I487">
        <v>0</v>
      </c>
      <c r="J487" t="str">
        <f t="shared" si="35"/>
        <v>High</v>
      </c>
      <c r="K487" t="str">
        <f t="shared" si="36"/>
        <v>Normal</v>
      </c>
      <c r="L487">
        <f t="shared" si="37"/>
        <v>1</v>
      </c>
      <c r="M487">
        <f t="shared" si="38"/>
        <v>1</v>
      </c>
      <c r="N487" s="6">
        <f t="shared" si="39"/>
        <v>45679</v>
      </c>
    </row>
    <row r="488" spans="1:14" x14ac:dyDescent="0.3">
      <c r="A488">
        <v>519</v>
      </c>
      <c r="B488">
        <v>10047</v>
      </c>
      <c r="C488" t="s">
        <v>542</v>
      </c>
      <c r="D488" t="s">
        <v>10</v>
      </c>
      <c r="E488" t="s">
        <v>11</v>
      </c>
      <c r="F488" t="s">
        <v>17</v>
      </c>
      <c r="G488" t="s">
        <v>18</v>
      </c>
      <c r="H488">
        <v>78040.91</v>
      </c>
      <c r="I488">
        <v>1</v>
      </c>
      <c r="J488" t="str">
        <f t="shared" si="35"/>
        <v>High</v>
      </c>
      <c r="K488" t="str">
        <f t="shared" si="36"/>
        <v>High Risk</v>
      </c>
      <c r="L488">
        <f t="shared" si="37"/>
        <v>1</v>
      </c>
      <c r="M488">
        <f t="shared" si="38"/>
        <v>1</v>
      </c>
      <c r="N488" s="6">
        <f t="shared" si="39"/>
        <v>45679</v>
      </c>
    </row>
    <row r="489" spans="1:14" x14ac:dyDescent="0.3">
      <c r="A489">
        <v>520</v>
      </c>
      <c r="B489">
        <v>10084</v>
      </c>
      <c r="C489" t="s">
        <v>543</v>
      </c>
      <c r="D489" t="s">
        <v>29</v>
      </c>
      <c r="E489" t="s">
        <v>11</v>
      </c>
      <c r="F489" t="s">
        <v>12</v>
      </c>
      <c r="G489" t="s">
        <v>13</v>
      </c>
      <c r="H489">
        <v>99762.52</v>
      </c>
      <c r="I489">
        <v>1</v>
      </c>
      <c r="J489" t="str">
        <f t="shared" si="35"/>
        <v>High</v>
      </c>
      <c r="K489" t="str">
        <f t="shared" si="36"/>
        <v>High Risk</v>
      </c>
      <c r="L489">
        <f t="shared" si="37"/>
        <v>1</v>
      </c>
      <c r="M489">
        <f t="shared" si="38"/>
        <v>1</v>
      </c>
      <c r="N489" s="6">
        <f t="shared" si="39"/>
        <v>45679</v>
      </c>
    </row>
    <row r="490" spans="1:14" x14ac:dyDescent="0.3">
      <c r="A490">
        <v>521</v>
      </c>
      <c r="B490">
        <v>10038</v>
      </c>
      <c r="C490" t="s">
        <v>544</v>
      </c>
      <c r="D490" t="s">
        <v>15</v>
      </c>
      <c r="E490" t="s">
        <v>16</v>
      </c>
      <c r="F490" t="s">
        <v>12</v>
      </c>
      <c r="G490" t="s">
        <v>25</v>
      </c>
      <c r="H490">
        <v>19194.099999999999</v>
      </c>
      <c r="I490">
        <v>0</v>
      </c>
      <c r="J490" t="str">
        <f t="shared" si="35"/>
        <v>High</v>
      </c>
      <c r="K490" t="str">
        <f t="shared" si="36"/>
        <v>Normal</v>
      </c>
      <c r="L490">
        <f t="shared" si="37"/>
        <v>1</v>
      </c>
      <c r="M490">
        <f t="shared" si="38"/>
        <v>1</v>
      </c>
      <c r="N490" s="6">
        <f t="shared" si="39"/>
        <v>45679</v>
      </c>
    </row>
    <row r="491" spans="1:14" x14ac:dyDescent="0.3">
      <c r="A491">
        <v>522</v>
      </c>
      <c r="B491">
        <v>10099</v>
      </c>
      <c r="C491" t="s">
        <v>545</v>
      </c>
      <c r="D491" t="s">
        <v>15</v>
      </c>
      <c r="E491" t="s">
        <v>11</v>
      </c>
      <c r="F491" t="s">
        <v>12</v>
      </c>
      <c r="G491" t="s">
        <v>31</v>
      </c>
      <c r="H491">
        <v>46019.12</v>
      </c>
      <c r="I491">
        <v>0</v>
      </c>
      <c r="J491" t="str">
        <f t="shared" si="35"/>
        <v>High</v>
      </c>
      <c r="K491" t="str">
        <f t="shared" si="36"/>
        <v>Normal</v>
      </c>
      <c r="L491">
        <f t="shared" si="37"/>
        <v>1</v>
      </c>
      <c r="M491">
        <f t="shared" si="38"/>
        <v>1</v>
      </c>
      <c r="N491" s="6">
        <f t="shared" si="39"/>
        <v>45679</v>
      </c>
    </row>
    <row r="492" spans="1:14" x14ac:dyDescent="0.3">
      <c r="A492">
        <v>523</v>
      </c>
      <c r="B492">
        <v>10032</v>
      </c>
      <c r="C492" t="s">
        <v>546</v>
      </c>
      <c r="D492" t="s">
        <v>29</v>
      </c>
      <c r="E492" t="s">
        <v>11</v>
      </c>
      <c r="F492" t="s">
        <v>17</v>
      </c>
      <c r="G492" t="s">
        <v>21</v>
      </c>
      <c r="H492">
        <v>43155.29</v>
      </c>
      <c r="I492">
        <v>0</v>
      </c>
      <c r="J492" t="str">
        <f t="shared" si="35"/>
        <v>High</v>
      </c>
      <c r="K492" t="str">
        <f t="shared" si="36"/>
        <v>Normal</v>
      </c>
      <c r="L492">
        <f t="shared" si="37"/>
        <v>1</v>
      </c>
      <c r="M492">
        <f t="shared" si="38"/>
        <v>1</v>
      </c>
      <c r="N492" s="6">
        <f t="shared" si="39"/>
        <v>45679</v>
      </c>
    </row>
    <row r="493" spans="1:14" x14ac:dyDescent="0.3">
      <c r="A493">
        <v>524</v>
      </c>
      <c r="B493">
        <v>10093</v>
      </c>
      <c r="C493" t="s">
        <v>547</v>
      </c>
      <c r="D493" t="s">
        <v>15</v>
      </c>
      <c r="E493" t="s">
        <v>11</v>
      </c>
      <c r="F493" t="s">
        <v>17</v>
      </c>
      <c r="G493" t="s">
        <v>18</v>
      </c>
      <c r="H493">
        <v>30518.799999999999</v>
      </c>
      <c r="I493">
        <v>0</v>
      </c>
      <c r="J493" t="str">
        <f t="shared" si="35"/>
        <v>High</v>
      </c>
      <c r="K493" t="str">
        <f t="shared" si="36"/>
        <v>Normal</v>
      </c>
      <c r="L493">
        <f t="shared" si="37"/>
        <v>1</v>
      </c>
      <c r="M493">
        <f t="shared" si="38"/>
        <v>1</v>
      </c>
      <c r="N493" s="6">
        <f t="shared" si="39"/>
        <v>45679</v>
      </c>
    </row>
    <row r="494" spans="1:14" x14ac:dyDescent="0.3">
      <c r="A494">
        <v>525</v>
      </c>
      <c r="B494">
        <v>10022</v>
      </c>
      <c r="C494" t="s">
        <v>548</v>
      </c>
      <c r="D494" t="s">
        <v>15</v>
      </c>
      <c r="E494" t="s">
        <v>16</v>
      </c>
      <c r="F494" t="s">
        <v>12</v>
      </c>
      <c r="G494" t="s">
        <v>31</v>
      </c>
      <c r="H494">
        <v>19889.740000000002</v>
      </c>
      <c r="I494">
        <v>0</v>
      </c>
      <c r="J494" t="str">
        <f t="shared" si="35"/>
        <v>High</v>
      </c>
      <c r="K494" t="str">
        <f t="shared" si="36"/>
        <v>Normal</v>
      </c>
      <c r="L494">
        <f t="shared" si="37"/>
        <v>1</v>
      </c>
      <c r="M494">
        <f t="shared" si="38"/>
        <v>1</v>
      </c>
      <c r="N494" s="6">
        <f t="shared" si="39"/>
        <v>45679</v>
      </c>
    </row>
    <row r="495" spans="1:14" x14ac:dyDescent="0.3">
      <c r="A495">
        <v>526</v>
      </c>
      <c r="B495">
        <v>10009</v>
      </c>
      <c r="C495" t="s">
        <v>549</v>
      </c>
      <c r="D495" t="s">
        <v>15</v>
      </c>
      <c r="E495" t="s">
        <v>16</v>
      </c>
      <c r="F495" t="s">
        <v>12</v>
      </c>
      <c r="G495" t="s">
        <v>13</v>
      </c>
      <c r="H495">
        <v>6662.64</v>
      </c>
      <c r="I495">
        <v>0</v>
      </c>
      <c r="J495" t="str">
        <f t="shared" si="35"/>
        <v>High</v>
      </c>
      <c r="K495" t="str">
        <f t="shared" si="36"/>
        <v>Normal</v>
      </c>
      <c r="L495">
        <f t="shared" si="37"/>
        <v>1</v>
      </c>
      <c r="M495">
        <f t="shared" si="38"/>
        <v>1</v>
      </c>
      <c r="N495" s="6">
        <f t="shared" si="39"/>
        <v>45679</v>
      </c>
    </row>
    <row r="496" spans="1:14" x14ac:dyDescent="0.3">
      <c r="A496">
        <v>527</v>
      </c>
      <c r="B496">
        <v>10068</v>
      </c>
      <c r="C496" t="s">
        <v>550</v>
      </c>
      <c r="D496" t="s">
        <v>20</v>
      </c>
      <c r="E496" t="s">
        <v>11</v>
      </c>
      <c r="F496" t="s">
        <v>12</v>
      </c>
      <c r="G496" t="s">
        <v>18</v>
      </c>
      <c r="H496">
        <v>88723.22</v>
      </c>
      <c r="I496">
        <v>1</v>
      </c>
      <c r="J496" t="str">
        <f t="shared" si="35"/>
        <v>High</v>
      </c>
      <c r="K496" t="str">
        <f t="shared" si="36"/>
        <v>High Risk</v>
      </c>
      <c r="L496">
        <f t="shared" si="37"/>
        <v>1</v>
      </c>
      <c r="M496">
        <f t="shared" si="38"/>
        <v>1</v>
      </c>
      <c r="N496" s="6">
        <f t="shared" si="39"/>
        <v>45679</v>
      </c>
    </row>
    <row r="497" spans="1:14" x14ac:dyDescent="0.3">
      <c r="A497">
        <v>528</v>
      </c>
      <c r="B497">
        <v>10099</v>
      </c>
      <c r="C497" t="s">
        <v>551</v>
      </c>
      <c r="D497" t="s">
        <v>20</v>
      </c>
      <c r="E497" t="s">
        <v>11</v>
      </c>
      <c r="F497" t="s">
        <v>17</v>
      </c>
      <c r="G497" t="s">
        <v>31</v>
      </c>
      <c r="H497">
        <v>42042.879999999997</v>
      </c>
      <c r="I497">
        <v>0</v>
      </c>
      <c r="J497" t="str">
        <f t="shared" si="35"/>
        <v>High</v>
      </c>
      <c r="K497" t="str">
        <f t="shared" si="36"/>
        <v>Normal</v>
      </c>
      <c r="L497">
        <f t="shared" si="37"/>
        <v>1</v>
      </c>
      <c r="M497">
        <f t="shared" si="38"/>
        <v>1</v>
      </c>
      <c r="N497" s="6">
        <f t="shared" si="39"/>
        <v>45679</v>
      </c>
    </row>
    <row r="498" spans="1:14" x14ac:dyDescent="0.3">
      <c r="A498">
        <v>481</v>
      </c>
      <c r="B498">
        <v>10061</v>
      </c>
      <c r="C498" t="s">
        <v>504</v>
      </c>
      <c r="D498" t="s">
        <v>20</v>
      </c>
      <c r="E498" t="s">
        <v>11</v>
      </c>
      <c r="F498" t="s">
        <v>17</v>
      </c>
      <c r="G498" t="s">
        <v>31</v>
      </c>
      <c r="H498">
        <v>38023.71</v>
      </c>
      <c r="I498">
        <v>0</v>
      </c>
      <c r="J498" t="str">
        <f t="shared" si="35"/>
        <v>High</v>
      </c>
      <c r="K498" t="str">
        <f t="shared" si="36"/>
        <v>Normal</v>
      </c>
      <c r="L498">
        <f t="shared" si="37"/>
        <v>1</v>
      </c>
      <c r="M498">
        <f t="shared" si="38"/>
        <v>1</v>
      </c>
      <c r="N498" s="6">
        <f t="shared" si="39"/>
        <v>45678</v>
      </c>
    </row>
    <row r="499" spans="1:14" x14ac:dyDescent="0.3">
      <c r="A499">
        <v>482</v>
      </c>
      <c r="B499">
        <v>10022</v>
      </c>
      <c r="C499" t="s">
        <v>505</v>
      </c>
      <c r="D499" t="s">
        <v>29</v>
      </c>
      <c r="E499" t="s">
        <v>24</v>
      </c>
      <c r="F499" t="s">
        <v>17</v>
      </c>
      <c r="G499" t="s">
        <v>13</v>
      </c>
      <c r="H499">
        <v>31727.02</v>
      </c>
      <c r="I499">
        <v>0</v>
      </c>
      <c r="J499" t="str">
        <f t="shared" si="35"/>
        <v>High</v>
      </c>
      <c r="K499" t="str">
        <f t="shared" si="36"/>
        <v>Normal</v>
      </c>
      <c r="L499">
        <f t="shared" si="37"/>
        <v>1</v>
      </c>
      <c r="M499">
        <f t="shared" si="38"/>
        <v>1</v>
      </c>
      <c r="N499" s="6">
        <f t="shared" si="39"/>
        <v>45678</v>
      </c>
    </row>
    <row r="500" spans="1:14" x14ac:dyDescent="0.3">
      <c r="A500">
        <v>483</v>
      </c>
      <c r="B500">
        <v>10008</v>
      </c>
      <c r="C500" t="s">
        <v>506</v>
      </c>
      <c r="D500" t="s">
        <v>15</v>
      </c>
      <c r="E500" t="s">
        <v>24</v>
      </c>
      <c r="F500" t="s">
        <v>12</v>
      </c>
      <c r="G500" t="s">
        <v>13</v>
      </c>
      <c r="H500">
        <v>28641.39</v>
      </c>
      <c r="I500">
        <v>0</v>
      </c>
      <c r="J500" t="str">
        <f t="shared" si="35"/>
        <v>High</v>
      </c>
      <c r="K500" t="str">
        <f t="shared" si="36"/>
        <v>Normal</v>
      </c>
      <c r="L500">
        <f t="shared" si="37"/>
        <v>1</v>
      </c>
      <c r="M500">
        <f t="shared" si="38"/>
        <v>1</v>
      </c>
      <c r="N500" s="6">
        <f t="shared" si="39"/>
        <v>45678</v>
      </c>
    </row>
    <row r="501" spans="1:14" x14ac:dyDescent="0.3">
      <c r="A501">
        <v>484</v>
      </c>
      <c r="B501">
        <v>10011</v>
      </c>
      <c r="C501" t="s">
        <v>507</v>
      </c>
      <c r="D501" t="s">
        <v>29</v>
      </c>
      <c r="E501" t="s">
        <v>24</v>
      </c>
      <c r="F501" t="s">
        <v>17</v>
      </c>
      <c r="G501" t="s">
        <v>25</v>
      </c>
      <c r="H501">
        <v>9228.27</v>
      </c>
      <c r="I501">
        <v>0</v>
      </c>
      <c r="J501" t="str">
        <f t="shared" si="35"/>
        <v>High</v>
      </c>
      <c r="K501" t="str">
        <f t="shared" si="36"/>
        <v>Normal</v>
      </c>
      <c r="L501">
        <f t="shared" si="37"/>
        <v>1</v>
      </c>
      <c r="M501">
        <f t="shared" si="38"/>
        <v>1</v>
      </c>
      <c r="N501" s="6">
        <f t="shared" si="39"/>
        <v>45678</v>
      </c>
    </row>
    <row r="502" spans="1:14" x14ac:dyDescent="0.3">
      <c r="A502">
        <v>485</v>
      </c>
      <c r="B502">
        <v>10000</v>
      </c>
      <c r="C502" t="s">
        <v>508</v>
      </c>
      <c r="D502" t="s">
        <v>10</v>
      </c>
      <c r="E502" t="s">
        <v>24</v>
      </c>
      <c r="F502" t="s">
        <v>17</v>
      </c>
      <c r="G502" t="s">
        <v>21</v>
      </c>
      <c r="H502">
        <v>31551.1</v>
      </c>
      <c r="I502">
        <v>0</v>
      </c>
      <c r="J502" t="str">
        <f t="shared" si="35"/>
        <v>High</v>
      </c>
      <c r="K502" t="str">
        <f t="shared" si="36"/>
        <v>Normal</v>
      </c>
      <c r="L502">
        <f t="shared" si="37"/>
        <v>1</v>
      </c>
      <c r="M502">
        <f t="shared" si="38"/>
        <v>1</v>
      </c>
      <c r="N502" s="6">
        <f t="shared" si="39"/>
        <v>45678</v>
      </c>
    </row>
    <row r="503" spans="1:14" x14ac:dyDescent="0.3">
      <c r="A503">
        <v>486</v>
      </c>
      <c r="B503">
        <v>10057</v>
      </c>
      <c r="C503" t="s">
        <v>509</v>
      </c>
      <c r="D503" t="s">
        <v>15</v>
      </c>
      <c r="E503" t="s">
        <v>16</v>
      </c>
      <c r="F503" t="s">
        <v>17</v>
      </c>
      <c r="G503" t="s">
        <v>31</v>
      </c>
      <c r="H503">
        <v>4400.9399999999996</v>
      </c>
      <c r="I503">
        <v>0</v>
      </c>
      <c r="J503" t="str">
        <f t="shared" si="35"/>
        <v>High</v>
      </c>
      <c r="K503" t="str">
        <f t="shared" si="36"/>
        <v>Normal</v>
      </c>
      <c r="L503">
        <f t="shared" si="37"/>
        <v>1</v>
      </c>
      <c r="M503">
        <f t="shared" si="38"/>
        <v>1</v>
      </c>
      <c r="N503" s="6">
        <f t="shared" si="39"/>
        <v>45678</v>
      </c>
    </row>
    <row r="504" spans="1:14" x14ac:dyDescent="0.3">
      <c r="A504">
        <v>487</v>
      </c>
      <c r="B504">
        <v>10000</v>
      </c>
      <c r="C504" t="s">
        <v>510</v>
      </c>
      <c r="D504" t="s">
        <v>29</v>
      </c>
      <c r="E504" t="s">
        <v>11</v>
      </c>
      <c r="F504" t="s">
        <v>17</v>
      </c>
      <c r="G504" t="s">
        <v>31</v>
      </c>
      <c r="H504">
        <v>78118.289999999994</v>
      </c>
      <c r="I504">
        <v>1</v>
      </c>
      <c r="J504" t="str">
        <f t="shared" si="35"/>
        <v>High</v>
      </c>
      <c r="K504" t="str">
        <f t="shared" si="36"/>
        <v>High Risk</v>
      </c>
      <c r="L504">
        <f t="shared" si="37"/>
        <v>1</v>
      </c>
      <c r="M504">
        <f t="shared" si="38"/>
        <v>1</v>
      </c>
      <c r="N504" s="6">
        <f t="shared" si="39"/>
        <v>45678</v>
      </c>
    </row>
    <row r="505" spans="1:14" x14ac:dyDescent="0.3">
      <c r="A505">
        <v>488</v>
      </c>
      <c r="B505">
        <v>10033</v>
      </c>
      <c r="C505" t="s">
        <v>511</v>
      </c>
      <c r="D505" t="s">
        <v>10</v>
      </c>
      <c r="E505" t="s">
        <v>11</v>
      </c>
      <c r="F505" t="s">
        <v>17</v>
      </c>
      <c r="G505" t="s">
        <v>31</v>
      </c>
      <c r="H505">
        <v>39882.959999999999</v>
      </c>
      <c r="I505">
        <v>0</v>
      </c>
      <c r="J505" t="str">
        <f t="shared" si="35"/>
        <v>High</v>
      </c>
      <c r="K505" t="str">
        <f t="shared" si="36"/>
        <v>Normal</v>
      </c>
      <c r="L505">
        <f t="shared" si="37"/>
        <v>1</v>
      </c>
      <c r="M505">
        <f t="shared" si="38"/>
        <v>1</v>
      </c>
      <c r="N505" s="6">
        <f t="shared" si="39"/>
        <v>45678</v>
      </c>
    </row>
    <row r="506" spans="1:14" x14ac:dyDescent="0.3">
      <c r="A506">
        <v>489</v>
      </c>
      <c r="B506">
        <v>10095</v>
      </c>
      <c r="C506" t="s">
        <v>512</v>
      </c>
      <c r="D506" t="s">
        <v>20</v>
      </c>
      <c r="E506" t="s">
        <v>11</v>
      </c>
      <c r="F506" t="s">
        <v>12</v>
      </c>
      <c r="G506" t="s">
        <v>25</v>
      </c>
      <c r="H506">
        <v>44445.99</v>
      </c>
      <c r="I506">
        <v>0</v>
      </c>
      <c r="J506" t="str">
        <f t="shared" si="35"/>
        <v>High</v>
      </c>
      <c r="K506" t="str">
        <f t="shared" si="36"/>
        <v>Normal</v>
      </c>
      <c r="L506">
        <f t="shared" si="37"/>
        <v>1</v>
      </c>
      <c r="M506">
        <f t="shared" si="38"/>
        <v>1</v>
      </c>
      <c r="N506" s="6">
        <f t="shared" si="39"/>
        <v>45678</v>
      </c>
    </row>
    <row r="507" spans="1:14" x14ac:dyDescent="0.3">
      <c r="A507">
        <v>490</v>
      </c>
      <c r="B507">
        <v>10047</v>
      </c>
      <c r="C507" t="s">
        <v>513</v>
      </c>
      <c r="D507" t="s">
        <v>10</v>
      </c>
      <c r="E507" t="s">
        <v>24</v>
      </c>
      <c r="F507" t="s">
        <v>17</v>
      </c>
      <c r="G507" t="s">
        <v>13</v>
      </c>
      <c r="H507">
        <v>89370.1</v>
      </c>
      <c r="I507">
        <v>0</v>
      </c>
      <c r="J507" t="str">
        <f t="shared" si="35"/>
        <v>High</v>
      </c>
      <c r="K507" t="str">
        <f t="shared" si="36"/>
        <v>Normal</v>
      </c>
      <c r="L507">
        <f t="shared" si="37"/>
        <v>1</v>
      </c>
      <c r="M507">
        <f t="shared" si="38"/>
        <v>1</v>
      </c>
      <c r="N507" s="6">
        <f t="shared" si="39"/>
        <v>45678</v>
      </c>
    </row>
    <row r="508" spans="1:14" x14ac:dyDescent="0.3">
      <c r="A508">
        <v>491</v>
      </c>
      <c r="B508">
        <v>10088</v>
      </c>
      <c r="C508" t="s">
        <v>514</v>
      </c>
      <c r="D508" t="s">
        <v>23</v>
      </c>
      <c r="E508" t="s">
        <v>24</v>
      </c>
      <c r="F508" t="s">
        <v>12</v>
      </c>
      <c r="G508" t="s">
        <v>21</v>
      </c>
      <c r="H508">
        <v>65839.69</v>
      </c>
      <c r="I508">
        <v>0</v>
      </c>
      <c r="J508" t="str">
        <f t="shared" si="35"/>
        <v>High</v>
      </c>
      <c r="K508" t="str">
        <f t="shared" si="36"/>
        <v>Normal</v>
      </c>
      <c r="L508">
        <f t="shared" si="37"/>
        <v>1</v>
      </c>
      <c r="M508">
        <f t="shared" si="38"/>
        <v>1</v>
      </c>
      <c r="N508" s="6">
        <f t="shared" si="39"/>
        <v>45678</v>
      </c>
    </row>
    <row r="509" spans="1:14" x14ac:dyDescent="0.3">
      <c r="A509">
        <v>492</v>
      </c>
      <c r="B509">
        <v>10000</v>
      </c>
      <c r="C509" t="s">
        <v>515</v>
      </c>
      <c r="D509" t="s">
        <v>10</v>
      </c>
      <c r="E509" t="s">
        <v>11</v>
      </c>
      <c r="F509" t="s">
        <v>12</v>
      </c>
      <c r="G509" t="s">
        <v>18</v>
      </c>
      <c r="H509">
        <v>905.1</v>
      </c>
      <c r="I509">
        <v>0</v>
      </c>
      <c r="J509" t="str">
        <f t="shared" si="35"/>
        <v>High</v>
      </c>
      <c r="K509" t="str">
        <f t="shared" si="36"/>
        <v>Normal</v>
      </c>
      <c r="L509">
        <f t="shared" si="37"/>
        <v>1</v>
      </c>
      <c r="M509">
        <f t="shared" si="38"/>
        <v>1</v>
      </c>
      <c r="N509" s="6">
        <f t="shared" si="39"/>
        <v>45678</v>
      </c>
    </row>
    <row r="510" spans="1:14" x14ac:dyDescent="0.3">
      <c r="A510">
        <v>493</v>
      </c>
      <c r="B510">
        <v>10015</v>
      </c>
      <c r="C510" t="s">
        <v>516</v>
      </c>
      <c r="D510" t="s">
        <v>10</v>
      </c>
      <c r="E510" t="s">
        <v>24</v>
      </c>
      <c r="F510" t="s">
        <v>17</v>
      </c>
      <c r="G510" t="s">
        <v>13</v>
      </c>
      <c r="H510">
        <v>94323.16</v>
      </c>
      <c r="I510">
        <v>0</v>
      </c>
      <c r="J510" t="str">
        <f t="shared" si="35"/>
        <v>High</v>
      </c>
      <c r="K510" t="str">
        <f t="shared" si="36"/>
        <v>Normal</v>
      </c>
      <c r="L510">
        <f t="shared" si="37"/>
        <v>1</v>
      </c>
      <c r="M510">
        <f t="shared" si="38"/>
        <v>1</v>
      </c>
      <c r="N510" s="6">
        <f t="shared" si="39"/>
        <v>45678</v>
      </c>
    </row>
    <row r="511" spans="1:14" x14ac:dyDescent="0.3">
      <c r="A511">
        <v>494</v>
      </c>
      <c r="B511">
        <v>10060</v>
      </c>
      <c r="C511" t="s">
        <v>517</v>
      </c>
      <c r="D511" t="s">
        <v>23</v>
      </c>
      <c r="E511" t="s">
        <v>11</v>
      </c>
      <c r="F511" t="s">
        <v>12</v>
      </c>
      <c r="G511" t="s">
        <v>25</v>
      </c>
      <c r="H511">
        <v>23790.73</v>
      </c>
      <c r="I511">
        <v>0</v>
      </c>
      <c r="J511" t="str">
        <f t="shared" si="35"/>
        <v>High</v>
      </c>
      <c r="K511" t="str">
        <f t="shared" si="36"/>
        <v>Normal</v>
      </c>
      <c r="L511">
        <f t="shared" si="37"/>
        <v>1</v>
      </c>
      <c r="M511">
        <f t="shared" si="38"/>
        <v>1</v>
      </c>
      <c r="N511" s="6">
        <f t="shared" si="39"/>
        <v>45678</v>
      </c>
    </row>
    <row r="512" spans="1:14" x14ac:dyDescent="0.3">
      <c r="A512">
        <v>495</v>
      </c>
      <c r="B512">
        <v>10063</v>
      </c>
      <c r="C512" t="s">
        <v>518</v>
      </c>
      <c r="D512" t="s">
        <v>29</v>
      </c>
      <c r="E512" t="s">
        <v>11</v>
      </c>
      <c r="F512" t="s">
        <v>17</v>
      </c>
      <c r="G512" t="s">
        <v>13</v>
      </c>
      <c r="H512">
        <v>10850.66</v>
      </c>
      <c r="I512">
        <v>0</v>
      </c>
      <c r="J512" t="str">
        <f t="shared" si="35"/>
        <v>High</v>
      </c>
      <c r="K512" t="str">
        <f t="shared" si="36"/>
        <v>Normal</v>
      </c>
      <c r="L512">
        <f t="shared" si="37"/>
        <v>1</v>
      </c>
      <c r="M512">
        <f t="shared" si="38"/>
        <v>1</v>
      </c>
      <c r="N512" s="6">
        <f t="shared" si="39"/>
        <v>45678</v>
      </c>
    </row>
    <row r="513" spans="1:14" x14ac:dyDescent="0.3">
      <c r="A513">
        <v>496</v>
      </c>
      <c r="B513">
        <v>10062</v>
      </c>
      <c r="C513" t="s">
        <v>519</v>
      </c>
      <c r="D513" t="s">
        <v>29</v>
      </c>
      <c r="E513" t="s">
        <v>11</v>
      </c>
      <c r="F513" t="s">
        <v>12</v>
      </c>
      <c r="G513" t="s">
        <v>13</v>
      </c>
      <c r="H513">
        <v>76836.009999999995</v>
      </c>
      <c r="I513">
        <v>1</v>
      </c>
      <c r="J513" t="str">
        <f t="shared" si="35"/>
        <v>High</v>
      </c>
      <c r="K513" t="str">
        <f t="shared" si="36"/>
        <v>High Risk</v>
      </c>
      <c r="L513">
        <f t="shared" si="37"/>
        <v>1</v>
      </c>
      <c r="M513">
        <f t="shared" si="38"/>
        <v>1</v>
      </c>
      <c r="N513" s="6">
        <f t="shared" si="39"/>
        <v>45678</v>
      </c>
    </row>
    <row r="514" spans="1:14" x14ac:dyDescent="0.3">
      <c r="A514">
        <v>497</v>
      </c>
      <c r="B514">
        <v>10068</v>
      </c>
      <c r="C514" t="s">
        <v>520</v>
      </c>
      <c r="D514" t="s">
        <v>10</v>
      </c>
      <c r="E514" t="s">
        <v>11</v>
      </c>
      <c r="F514" t="s">
        <v>12</v>
      </c>
      <c r="G514" t="s">
        <v>25</v>
      </c>
      <c r="H514">
        <v>50097.68</v>
      </c>
      <c r="I514">
        <v>1</v>
      </c>
      <c r="J514" t="str">
        <f t="shared" ref="J514:J577" si="40">IF(E514&gt;50000,"High","Normal")</f>
        <v>High</v>
      </c>
      <c r="K514" t="str">
        <f t="shared" ref="K514:K577" si="41">IF(AND(H514&gt;50000,E514="Online"),"High Risk","Normal")</f>
        <v>High Risk</v>
      </c>
      <c r="L514">
        <f t="shared" ref="L514:L577" si="42">COUNTIFS(C:C,C514,B:B,B514)</f>
        <v>1</v>
      </c>
      <c r="M514">
        <f t="shared" ref="M514:M577" si="43">IF(E514&gt;50000,1,0) + IF(H514="Unusual",1,0) + IF(I514&gt;3,1,0)</f>
        <v>1</v>
      </c>
      <c r="N514" s="6">
        <f t="shared" ref="N514:N577" si="44">INT(C514)</f>
        <v>45678</v>
      </c>
    </row>
    <row r="515" spans="1:14" x14ac:dyDescent="0.3">
      <c r="A515">
        <v>498</v>
      </c>
      <c r="B515">
        <v>10021</v>
      </c>
      <c r="C515" t="s">
        <v>521</v>
      </c>
      <c r="D515" t="s">
        <v>23</v>
      </c>
      <c r="E515" t="s">
        <v>11</v>
      </c>
      <c r="F515" t="s">
        <v>17</v>
      </c>
      <c r="G515" t="s">
        <v>31</v>
      </c>
      <c r="H515">
        <v>43433.68</v>
      </c>
      <c r="I515">
        <v>0</v>
      </c>
      <c r="J515" t="str">
        <f t="shared" si="40"/>
        <v>High</v>
      </c>
      <c r="K515" t="str">
        <f t="shared" si="41"/>
        <v>Normal</v>
      </c>
      <c r="L515">
        <f t="shared" si="42"/>
        <v>1</v>
      </c>
      <c r="M515">
        <f t="shared" si="43"/>
        <v>1</v>
      </c>
      <c r="N515" s="6">
        <f t="shared" si="44"/>
        <v>45678</v>
      </c>
    </row>
    <row r="516" spans="1:14" x14ac:dyDescent="0.3">
      <c r="A516">
        <v>499</v>
      </c>
      <c r="B516">
        <v>10092</v>
      </c>
      <c r="C516" t="s">
        <v>522</v>
      </c>
      <c r="D516" t="s">
        <v>23</v>
      </c>
      <c r="E516" t="s">
        <v>11</v>
      </c>
      <c r="F516" t="s">
        <v>17</v>
      </c>
      <c r="G516" t="s">
        <v>31</v>
      </c>
      <c r="H516">
        <v>25025.360000000001</v>
      </c>
      <c r="I516">
        <v>0</v>
      </c>
      <c r="J516" t="str">
        <f t="shared" si="40"/>
        <v>High</v>
      </c>
      <c r="K516" t="str">
        <f t="shared" si="41"/>
        <v>Normal</v>
      </c>
      <c r="L516">
        <f t="shared" si="42"/>
        <v>1</v>
      </c>
      <c r="M516">
        <f t="shared" si="43"/>
        <v>1</v>
      </c>
      <c r="N516" s="6">
        <f t="shared" si="44"/>
        <v>45678</v>
      </c>
    </row>
    <row r="517" spans="1:14" x14ac:dyDescent="0.3">
      <c r="A517">
        <v>500</v>
      </c>
      <c r="B517">
        <v>10066</v>
      </c>
      <c r="C517" t="s">
        <v>523</v>
      </c>
      <c r="D517" t="s">
        <v>20</v>
      </c>
      <c r="E517" t="s">
        <v>11</v>
      </c>
      <c r="F517" t="s">
        <v>17</v>
      </c>
      <c r="G517" t="s">
        <v>21</v>
      </c>
      <c r="H517">
        <v>54792.4</v>
      </c>
      <c r="I517">
        <v>1</v>
      </c>
      <c r="J517" t="str">
        <f t="shared" si="40"/>
        <v>High</v>
      </c>
      <c r="K517" t="str">
        <f t="shared" si="41"/>
        <v>High Risk</v>
      </c>
      <c r="L517">
        <f t="shared" si="42"/>
        <v>1</v>
      </c>
      <c r="M517">
        <f t="shared" si="43"/>
        <v>1</v>
      </c>
      <c r="N517" s="6">
        <f t="shared" si="44"/>
        <v>45678</v>
      </c>
    </row>
    <row r="518" spans="1:14" x14ac:dyDescent="0.3">
      <c r="A518">
        <v>501</v>
      </c>
      <c r="B518">
        <v>10075</v>
      </c>
      <c r="C518" t="s">
        <v>524</v>
      </c>
      <c r="D518" t="s">
        <v>29</v>
      </c>
      <c r="E518" t="s">
        <v>24</v>
      </c>
      <c r="F518" t="s">
        <v>17</v>
      </c>
      <c r="G518" t="s">
        <v>21</v>
      </c>
      <c r="H518">
        <v>27511.02</v>
      </c>
      <c r="I518">
        <v>0</v>
      </c>
      <c r="J518" t="str">
        <f t="shared" si="40"/>
        <v>High</v>
      </c>
      <c r="K518" t="str">
        <f t="shared" si="41"/>
        <v>Normal</v>
      </c>
      <c r="L518">
        <f t="shared" si="42"/>
        <v>1</v>
      </c>
      <c r="M518">
        <f t="shared" si="43"/>
        <v>1</v>
      </c>
      <c r="N518" s="6">
        <f t="shared" si="44"/>
        <v>45678</v>
      </c>
    </row>
    <row r="519" spans="1:14" x14ac:dyDescent="0.3">
      <c r="A519">
        <v>502</v>
      </c>
      <c r="B519">
        <v>10025</v>
      </c>
      <c r="C519" t="s">
        <v>525</v>
      </c>
      <c r="D519" t="s">
        <v>15</v>
      </c>
      <c r="E519" t="s">
        <v>11</v>
      </c>
      <c r="F519" t="s">
        <v>17</v>
      </c>
      <c r="G519" t="s">
        <v>31</v>
      </c>
      <c r="H519">
        <v>90168.14</v>
      </c>
      <c r="I519">
        <v>1</v>
      </c>
      <c r="J519" t="str">
        <f t="shared" si="40"/>
        <v>High</v>
      </c>
      <c r="K519" t="str">
        <f t="shared" si="41"/>
        <v>High Risk</v>
      </c>
      <c r="L519">
        <f t="shared" si="42"/>
        <v>1</v>
      </c>
      <c r="M519">
        <f t="shared" si="43"/>
        <v>1</v>
      </c>
      <c r="N519" s="6">
        <f t="shared" si="44"/>
        <v>45678</v>
      </c>
    </row>
    <row r="520" spans="1:14" x14ac:dyDescent="0.3">
      <c r="A520">
        <v>503</v>
      </c>
      <c r="B520">
        <v>10015</v>
      </c>
      <c r="C520" t="s">
        <v>526</v>
      </c>
      <c r="D520" t="s">
        <v>29</v>
      </c>
      <c r="E520" t="s">
        <v>11</v>
      </c>
      <c r="F520" t="s">
        <v>12</v>
      </c>
      <c r="G520" t="s">
        <v>18</v>
      </c>
      <c r="H520">
        <v>21598.93</v>
      </c>
      <c r="I520">
        <v>0</v>
      </c>
      <c r="J520" t="str">
        <f t="shared" si="40"/>
        <v>High</v>
      </c>
      <c r="K520" t="str">
        <f t="shared" si="41"/>
        <v>Normal</v>
      </c>
      <c r="L520">
        <f t="shared" si="42"/>
        <v>1</v>
      </c>
      <c r="M520">
        <f t="shared" si="43"/>
        <v>1</v>
      </c>
      <c r="N520" s="6">
        <f t="shared" si="44"/>
        <v>45678</v>
      </c>
    </row>
    <row r="521" spans="1:14" x14ac:dyDescent="0.3">
      <c r="A521">
        <v>504</v>
      </c>
      <c r="B521">
        <v>10050</v>
      </c>
      <c r="C521" t="s">
        <v>527</v>
      </c>
      <c r="D521" t="s">
        <v>29</v>
      </c>
      <c r="E521" t="s">
        <v>24</v>
      </c>
      <c r="F521" t="s">
        <v>12</v>
      </c>
      <c r="G521" t="s">
        <v>13</v>
      </c>
      <c r="H521">
        <v>88447.08</v>
      </c>
      <c r="I521">
        <v>0</v>
      </c>
      <c r="J521" t="str">
        <f t="shared" si="40"/>
        <v>High</v>
      </c>
      <c r="K521" t="str">
        <f t="shared" si="41"/>
        <v>Normal</v>
      </c>
      <c r="L521">
        <f t="shared" si="42"/>
        <v>1</v>
      </c>
      <c r="M521">
        <f t="shared" si="43"/>
        <v>1</v>
      </c>
      <c r="N521" s="6">
        <f t="shared" si="44"/>
        <v>45678</v>
      </c>
    </row>
    <row r="522" spans="1:14" x14ac:dyDescent="0.3">
      <c r="A522">
        <v>457</v>
      </c>
      <c r="B522">
        <v>10052</v>
      </c>
      <c r="C522" t="s">
        <v>480</v>
      </c>
      <c r="D522" t="s">
        <v>29</v>
      </c>
      <c r="E522" t="s">
        <v>11</v>
      </c>
      <c r="F522" t="s">
        <v>17</v>
      </c>
      <c r="G522" t="s">
        <v>21</v>
      </c>
      <c r="H522">
        <v>89936.11</v>
      </c>
      <c r="I522">
        <v>1</v>
      </c>
      <c r="J522" t="str">
        <f t="shared" si="40"/>
        <v>High</v>
      </c>
      <c r="K522" t="str">
        <f t="shared" si="41"/>
        <v>High Risk</v>
      </c>
      <c r="L522">
        <f t="shared" si="42"/>
        <v>1</v>
      </c>
      <c r="M522">
        <f t="shared" si="43"/>
        <v>1</v>
      </c>
      <c r="N522" s="6">
        <f t="shared" si="44"/>
        <v>45677</v>
      </c>
    </row>
    <row r="523" spans="1:14" x14ac:dyDescent="0.3">
      <c r="A523">
        <v>458</v>
      </c>
      <c r="B523">
        <v>10059</v>
      </c>
      <c r="C523" t="s">
        <v>481</v>
      </c>
      <c r="D523" t="s">
        <v>15</v>
      </c>
      <c r="E523" t="s">
        <v>24</v>
      </c>
      <c r="F523" t="s">
        <v>12</v>
      </c>
      <c r="G523" t="s">
        <v>13</v>
      </c>
      <c r="H523">
        <v>96229.92</v>
      </c>
      <c r="I523">
        <v>0</v>
      </c>
      <c r="J523" t="str">
        <f t="shared" si="40"/>
        <v>High</v>
      </c>
      <c r="K523" t="str">
        <f t="shared" si="41"/>
        <v>Normal</v>
      </c>
      <c r="L523">
        <f t="shared" si="42"/>
        <v>1</v>
      </c>
      <c r="M523">
        <f t="shared" si="43"/>
        <v>1</v>
      </c>
      <c r="N523" s="6">
        <f t="shared" si="44"/>
        <v>45677</v>
      </c>
    </row>
    <row r="524" spans="1:14" x14ac:dyDescent="0.3">
      <c r="A524">
        <v>459</v>
      </c>
      <c r="B524">
        <v>10004</v>
      </c>
      <c r="C524" t="s">
        <v>482</v>
      </c>
      <c r="D524" t="s">
        <v>23</v>
      </c>
      <c r="E524" t="s">
        <v>16</v>
      </c>
      <c r="F524" t="s">
        <v>12</v>
      </c>
      <c r="G524" t="s">
        <v>13</v>
      </c>
      <c r="H524">
        <v>44467.11</v>
      </c>
      <c r="I524">
        <v>0</v>
      </c>
      <c r="J524" t="str">
        <f t="shared" si="40"/>
        <v>High</v>
      </c>
      <c r="K524" t="str">
        <f t="shared" si="41"/>
        <v>Normal</v>
      </c>
      <c r="L524">
        <f t="shared" si="42"/>
        <v>1</v>
      </c>
      <c r="M524">
        <f t="shared" si="43"/>
        <v>1</v>
      </c>
      <c r="N524" s="6">
        <f t="shared" si="44"/>
        <v>45677</v>
      </c>
    </row>
    <row r="525" spans="1:14" x14ac:dyDescent="0.3">
      <c r="A525">
        <v>460</v>
      </c>
      <c r="B525">
        <v>10067</v>
      </c>
      <c r="C525" t="s">
        <v>483</v>
      </c>
      <c r="D525" t="s">
        <v>10</v>
      </c>
      <c r="E525" t="s">
        <v>24</v>
      </c>
      <c r="F525" t="s">
        <v>17</v>
      </c>
      <c r="G525" t="s">
        <v>31</v>
      </c>
      <c r="H525">
        <v>75027.839999999997</v>
      </c>
      <c r="I525">
        <v>0</v>
      </c>
      <c r="J525" t="str">
        <f t="shared" si="40"/>
        <v>High</v>
      </c>
      <c r="K525" t="str">
        <f t="shared" si="41"/>
        <v>Normal</v>
      </c>
      <c r="L525">
        <f t="shared" si="42"/>
        <v>1</v>
      </c>
      <c r="M525">
        <f t="shared" si="43"/>
        <v>1</v>
      </c>
      <c r="N525" s="6">
        <f t="shared" si="44"/>
        <v>45677</v>
      </c>
    </row>
    <row r="526" spans="1:14" x14ac:dyDescent="0.3">
      <c r="A526">
        <v>461</v>
      </c>
      <c r="B526">
        <v>10005</v>
      </c>
      <c r="C526" t="s">
        <v>484</v>
      </c>
      <c r="D526" t="s">
        <v>23</v>
      </c>
      <c r="E526" t="s">
        <v>16</v>
      </c>
      <c r="F526" t="s">
        <v>17</v>
      </c>
      <c r="G526" t="s">
        <v>13</v>
      </c>
      <c r="H526">
        <v>53212.94</v>
      </c>
      <c r="I526">
        <v>0</v>
      </c>
      <c r="J526" t="str">
        <f t="shared" si="40"/>
        <v>High</v>
      </c>
      <c r="K526" t="str">
        <f t="shared" si="41"/>
        <v>Normal</v>
      </c>
      <c r="L526">
        <f t="shared" si="42"/>
        <v>1</v>
      </c>
      <c r="M526">
        <f t="shared" si="43"/>
        <v>1</v>
      </c>
      <c r="N526" s="6">
        <f t="shared" si="44"/>
        <v>45677</v>
      </c>
    </row>
    <row r="527" spans="1:14" x14ac:dyDescent="0.3">
      <c r="A527">
        <v>462</v>
      </c>
      <c r="B527">
        <v>10095</v>
      </c>
      <c r="C527" t="s">
        <v>485</v>
      </c>
      <c r="D527" t="s">
        <v>29</v>
      </c>
      <c r="E527" t="s">
        <v>11</v>
      </c>
      <c r="F527" t="s">
        <v>12</v>
      </c>
      <c r="G527" t="s">
        <v>25</v>
      </c>
      <c r="H527">
        <v>53824.52</v>
      </c>
      <c r="I527">
        <v>1</v>
      </c>
      <c r="J527" t="str">
        <f t="shared" si="40"/>
        <v>High</v>
      </c>
      <c r="K527" t="str">
        <f t="shared" si="41"/>
        <v>High Risk</v>
      </c>
      <c r="L527">
        <f t="shared" si="42"/>
        <v>1</v>
      </c>
      <c r="M527">
        <f t="shared" si="43"/>
        <v>1</v>
      </c>
      <c r="N527" s="6">
        <f t="shared" si="44"/>
        <v>45677</v>
      </c>
    </row>
    <row r="528" spans="1:14" x14ac:dyDescent="0.3">
      <c r="A528">
        <v>463</v>
      </c>
      <c r="B528">
        <v>10093</v>
      </c>
      <c r="C528" t="s">
        <v>486</v>
      </c>
      <c r="D528" t="s">
        <v>10</v>
      </c>
      <c r="E528" t="s">
        <v>11</v>
      </c>
      <c r="F528" t="s">
        <v>17</v>
      </c>
      <c r="G528" t="s">
        <v>21</v>
      </c>
      <c r="H528">
        <v>27882.14</v>
      </c>
      <c r="I528">
        <v>0</v>
      </c>
      <c r="J528" t="str">
        <f t="shared" si="40"/>
        <v>High</v>
      </c>
      <c r="K528" t="str">
        <f t="shared" si="41"/>
        <v>Normal</v>
      </c>
      <c r="L528">
        <f t="shared" si="42"/>
        <v>1</v>
      </c>
      <c r="M528">
        <f t="shared" si="43"/>
        <v>1</v>
      </c>
      <c r="N528" s="6">
        <f t="shared" si="44"/>
        <v>45677</v>
      </c>
    </row>
    <row r="529" spans="1:14" x14ac:dyDescent="0.3">
      <c r="A529">
        <v>464</v>
      </c>
      <c r="B529">
        <v>10046</v>
      </c>
      <c r="C529" t="s">
        <v>487</v>
      </c>
      <c r="D529" t="s">
        <v>20</v>
      </c>
      <c r="E529" t="s">
        <v>11</v>
      </c>
      <c r="F529" t="s">
        <v>12</v>
      </c>
      <c r="G529" t="s">
        <v>25</v>
      </c>
      <c r="H529">
        <v>21773.93</v>
      </c>
      <c r="I529">
        <v>0</v>
      </c>
      <c r="J529" t="str">
        <f t="shared" si="40"/>
        <v>High</v>
      </c>
      <c r="K529" t="str">
        <f t="shared" si="41"/>
        <v>Normal</v>
      </c>
      <c r="L529">
        <f t="shared" si="42"/>
        <v>1</v>
      </c>
      <c r="M529">
        <f t="shared" si="43"/>
        <v>1</v>
      </c>
      <c r="N529" s="6">
        <f t="shared" si="44"/>
        <v>45677</v>
      </c>
    </row>
    <row r="530" spans="1:14" x14ac:dyDescent="0.3">
      <c r="A530">
        <v>465</v>
      </c>
      <c r="B530">
        <v>10098</v>
      </c>
      <c r="C530" t="s">
        <v>488</v>
      </c>
      <c r="D530" t="s">
        <v>23</v>
      </c>
      <c r="E530" t="s">
        <v>11</v>
      </c>
      <c r="F530" t="s">
        <v>17</v>
      </c>
      <c r="G530" t="s">
        <v>18</v>
      </c>
      <c r="H530">
        <v>28871.73</v>
      </c>
      <c r="I530">
        <v>0</v>
      </c>
      <c r="J530" t="str">
        <f t="shared" si="40"/>
        <v>High</v>
      </c>
      <c r="K530" t="str">
        <f t="shared" si="41"/>
        <v>Normal</v>
      </c>
      <c r="L530">
        <f t="shared" si="42"/>
        <v>1</v>
      </c>
      <c r="M530">
        <f t="shared" si="43"/>
        <v>1</v>
      </c>
      <c r="N530" s="6">
        <f t="shared" si="44"/>
        <v>45677</v>
      </c>
    </row>
    <row r="531" spans="1:14" x14ac:dyDescent="0.3">
      <c r="A531">
        <v>466</v>
      </c>
      <c r="B531">
        <v>10054</v>
      </c>
      <c r="C531" t="s">
        <v>489</v>
      </c>
      <c r="D531" t="s">
        <v>10</v>
      </c>
      <c r="E531" t="s">
        <v>24</v>
      </c>
      <c r="F531" t="s">
        <v>12</v>
      </c>
      <c r="G531" t="s">
        <v>31</v>
      </c>
      <c r="H531">
        <v>55677.17</v>
      </c>
      <c r="I531">
        <v>0</v>
      </c>
      <c r="J531" t="str">
        <f t="shared" si="40"/>
        <v>High</v>
      </c>
      <c r="K531" t="str">
        <f t="shared" si="41"/>
        <v>Normal</v>
      </c>
      <c r="L531">
        <f t="shared" si="42"/>
        <v>1</v>
      </c>
      <c r="M531">
        <f t="shared" si="43"/>
        <v>1</v>
      </c>
      <c r="N531" s="6">
        <f t="shared" si="44"/>
        <v>45677</v>
      </c>
    </row>
    <row r="532" spans="1:14" x14ac:dyDescent="0.3">
      <c r="A532">
        <v>467</v>
      </c>
      <c r="B532">
        <v>10039</v>
      </c>
      <c r="C532" t="s">
        <v>490</v>
      </c>
      <c r="D532" t="s">
        <v>23</v>
      </c>
      <c r="E532" t="s">
        <v>24</v>
      </c>
      <c r="F532" t="s">
        <v>12</v>
      </c>
      <c r="G532" t="s">
        <v>13</v>
      </c>
      <c r="H532">
        <v>3012.6</v>
      </c>
      <c r="I532">
        <v>0</v>
      </c>
      <c r="J532" t="str">
        <f t="shared" si="40"/>
        <v>High</v>
      </c>
      <c r="K532" t="str">
        <f t="shared" si="41"/>
        <v>Normal</v>
      </c>
      <c r="L532">
        <f t="shared" si="42"/>
        <v>1</v>
      </c>
      <c r="M532">
        <f t="shared" si="43"/>
        <v>1</v>
      </c>
      <c r="N532" s="6">
        <f t="shared" si="44"/>
        <v>45677</v>
      </c>
    </row>
    <row r="533" spans="1:14" x14ac:dyDescent="0.3">
      <c r="A533">
        <v>468</v>
      </c>
      <c r="B533">
        <v>10051</v>
      </c>
      <c r="C533" t="s">
        <v>491</v>
      </c>
      <c r="D533" t="s">
        <v>10</v>
      </c>
      <c r="E533" t="s">
        <v>11</v>
      </c>
      <c r="F533" t="s">
        <v>12</v>
      </c>
      <c r="G533" t="s">
        <v>18</v>
      </c>
      <c r="H533">
        <v>90734.17</v>
      </c>
      <c r="I533">
        <v>1</v>
      </c>
      <c r="J533" t="str">
        <f t="shared" si="40"/>
        <v>High</v>
      </c>
      <c r="K533" t="str">
        <f t="shared" si="41"/>
        <v>High Risk</v>
      </c>
      <c r="L533">
        <f t="shared" si="42"/>
        <v>1</v>
      </c>
      <c r="M533">
        <f t="shared" si="43"/>
        <v>1</v>
      </c>
      <c r="N533" s="6">
        <f t="shared" si="44"/>
        <v>45677</v>
      </c>
    </row>
    <row r="534" spans="1:14" x14ac:dyDescent="0.3">
      <c r="A534">
        <v>469</v>
      </c>
      <c r="B534">
        <v>10015</v>
      </c>
      <c r="C534" t="s">
        <v>492</v>
      </c>
      <c r="D534" t="s">
        <v>15</v>
      </c>
      <c r="E534" t="s">
        <v>11</v>
      </c>
      <c r="F534" t="s">
        <v>12</v>
      </c>
      <c r="G534" t="s">
        <v>13</v>
      </c>
      <c r="H534">
        <v>15712.74</v>
      </c>
      <c r="I534">
        <v>0</v>
      </c>
      <c r="J534" t="str">
        <f t="shared" si="40"/>
        <v>High</v>
      </c>
      <c r="K534" t="str">
        <f t="shared" si="41"/>
        <v>Normal</v>
      </c>
      <c r="L534">
        <f t="shared" si="42"/>
        <v>1</v>
      </c>
      <c r="M534">
        <f t="shared" si="43"/>
        <v>1</v>
      </c>
      <c r="N534" s="6">
        <f t="shared" si="44"/>
        <v>45677</v>
      </c>
    </row>
    <row r="535" spans="1:14" x14ac:dyDescent="0.3">
      <c r="A535">
        <v>470</v>
      </c>
      <c r="B535">
        <v>10012</v>
      </c>
      <c r="C535" t="s">
        <v>493</v>
      </c>
      <c r="D535" t="s">
        <v>23</v>
      </c>
      <c r="E535" t="s">
        <v>11</v>
      </c>
      <c r="F535" t="s">
        <v>17</v>
      </c>
      <c r="G535" t="s">
        <v>21</v>
      </c>
      <c r="H535">
        <v>22086.86</v>
      </c>
      <c r="I535">
        <v>0</v>
      </c>
      <c r="J535" t="str">
        <f t="shared" si="40"/>
        <v>High</v>
      </c>
      <c r="K535" t="str">
        <f t="shared" si="41"/>
        <v>Normal</v>
      </c>
      <c r="L535">
        <f t="shared" si="42"/>
        <v>1</v>
      </c>
      <c r="M535">
        <f t="shared" si="43"/>
        <v>1</v>
      </c>
      <c r="N535" s="6">
        <f t="shared" si="44"/>
        <v>45677</v>
      </c>
    </row>
    <row r="536" spans="1:14" x14ac:dyDescent="0.3">
      <c r="A536">
        <v>471</v>
      </c>
      <c r="B536">
        <v>10029</v>
      </c>
      <c r="C536" t="s">
        <v>494</v>
      </c>
      <c r="D536" t="s">
        <v>20</v>
      </c>
      <c r="E536" t="s">
        <v>24</v>
      </c>
      <c r="F536" t="s">
        <v>17</v>
      </c>
      <c r="G536" t="s">
        <v>21</v>
      </c>
      <c r="H536">
        <v>51875.79</v>
      </c>
      <c r="I536">
        <v>0</v>
      </c>
      <c r="J536" t="str">
        <f t="shared" si="40"/>
        <v>High</v>
      </c>
      <c r="K536" t="str">
        <f t="shared" si="41"/>
        <v>Normal</v>
      </c>
      <c r="L536">
        <f t="shared" si="42"/>
        <v>1</v>
      </c>
      <c r="M536">
        <f t="shared" si="43"/>
        <v>1</v>
      </c>
      <c r="N536" s="6">
        <f t="shared" si="44"/>
        <v>45677</v>
      </c>
    </row>
    <row r="537" spans="1:14" x14ac:dyDescent="0.3">
      <c r="A537">
        <v>472</v>
      </c>
      <c r="B537">
        <v>10018</v>
      </c>
      <c r="C537" t="s">
        <v>495</v>
      </c>
      <c r="D537" t="s">
        <v>20</v>
      </c>
      <c r="E537" t="s">
        <v>11</v>
      </c>
      <c r="F537" t="s">
        <v>12</v>
      </c>
      <c r="G537" t="s">
        <v>21</v>
      </c>
      <c r="H537">
        <v>71040.47</v>
      </c>
      <c r="I537">
        <v>1</v>
      </c>
      <c r="J537" t="str">
        <f t="shared" si="40"/>
        <v>High</v>
      </c>
      <c r="K537" t="str">
        <f t="shared" si="41"/>
        <v>High Risk</v>
      </c>
      <c r="L537">
        <f t="shared" si="42"/>
        <v>1</v>
      </c>
      <c r="M537">
        <f t="shared" si="43"/>
        <v>1</v>
      </c>
      <c r="N537" s="6">
        <f t="shared" si="44"/>
        <v>45677</v>
      </c>
    </row>
    <row r="538" spans="1:14" x14ac:dyDescent="0.3">
      <c r="A538">
        <v>473</v>
      </c>
      <c r="B538">
        <v>10016</v>
      </c>
      <c r="C538" t="s">
        <v>496</v>
      </c>
      <c r="D538" t="s">
        <v>29</v>
      </c>
      <c r="E538" t="s">
        <v>11</v>
      </c>
      <c r="F538" t="s">
        <v>12</v>
      </c>
      <c r="G538" t="s">
        <v>13</v>
      </c>
      <c r="H538">
        <v>9663.33</v>
      </c>
      <c r="I538">
        <v>0</v>
      </c>
      <c r="J538" t="str">
        <f t="shared" si="40"/>
        <v>High</v>
      </c>
      <c r="K538" t="str">
        <f t="shared" si="41"/>
        <v>Normal</v>
      </c>
      <c r="L538">
        <f t="shared" si="42"/>
        <v>1</v>
      </c>
      <c r="M538">
        <f t="shared" si="43"/>
        <v>1</v>
      </c>
      <c r="N538" s="6">
        <f t="shared" si="44"/>
        <v>45677</v>
      </c>
    </row>
    <row r="539" spans="1:14" x14ac:dyDescent="0.3">
      <c r="A539">
        <v>474</v>
      </c>
      <c r="B539">
        <v>10062</v>
      </c>
      <c r="C539" t="s">
        <v>497</v>
      </c>
      <c r="D539" t="s">
        <v>10</v>
      </c>
      <c r="E539" t="s">
        <v>11</v>
      </c>
      <c r="F539" t="s">
        <v>17</v>
      </c>
      <c r="G539" t="s">
        <v>18</v>
      </c>
      <c r="H539">
        <v>31837.7</v>
      </c>
      <c r="I539">
        <v>0</v>
      </c>
      <c r="J539" t="str">
        <f t="shared" si="40"/>
        <v>High</v>
      </c>
      <c r="K539" t="str">
        <f t="shared" si="41"/>
        <v>Normal</v>
      </c>
      <c r="L539">
        <f t="shared" si="42"/>
        <v>1</v>
      </c>
      <c r="M539">
        <f t="shared" si="43"/>
        <v>1</v>
      </c>
      <c r="N539" s="6">
        <f t="shared" si="44"/>
        <v>45677</v>
      </c>
    </row>
    <row r="540" spans="1:14" x14ac:dyDescent="0.3">
      <c r="A540">
        <v>475</v>
      </c>
      <c r="B540">
        <v>10018</v>
      </c>
      <c r="C540" t="s">
        <v>498</v>
      </c>
      <c r="D540" t="s">
        <v>23</v>
      </c>
      <c r="E540" t="s">
        <v>16</v>
      </c>
      <c r="F540" t="s">
        <v>17</v>
      </c>
      <c r="G540" t="s">
        <v>21</v>
      </c>
      <c r="H540">
        <v>96870.59</v>
      </c>
      <c r="I540">
        <v>0</v>
      </c>
      <c r="J540" t="str">
        <f t="shared" si="40"/>
        <v>High</v>
      </c>
      <c r="K540" t="str">
        <f t="shared" si="41"/>
        <v>Normal</v>
      </c>
      <c r="L540">
        <f t="shared" si="42"/>
        <v>1</v>
      </c>
      <c r="M540">
        <f t="shared" si="43"/>
        <v>1</v>
      </c>
      <c r="N540" s="6">
        <f t="shared" si="44"/>
        <v>45677</v>
      </c>
    </row>
    <row r="541" spans="1:14" x14ac:dyDescent="0.3">
      <c r="A541">
        <v>476</v>
      </c>
      <c r="B541">
        <v>10091</v>
      </c>
      <c r="C541" t="s">
        <v>499</v>
      </c>
      <c r="D541" t="s">
        <v>29</v>
      </c>
      <c r="E541" t="s">
        <v>11</v>
      </c>
      <c r="F541" t="s">
        <v>17</v>
      </c>
      <c r="G541" t="s">
        <v>18</v>
      </c>
      <c r="H541">
        <v>26308.06</v>
      </c>
      <c r="I541">
        <v>0</v>
      </c>
      <c r="J541" t="str">
        <f t="shared" si="40"/>
        <v>High</v>
      </c>
      <c r="K541" t="str">
        <f t="shared" si="41"/>
        <v>Normal</v>
      </c>
      <c r="L541">
        <f t="shared" si="42"/>
        <v>1</v>
      </c>
      <c r="M541">
        <f t="shared" si="43"/>
        <v>1</v>
      </c>
      <c r="N541" s="6">
        <f t="shared" si="44"/>
        <v>45677</v>
      </c>
    </row>
    <row r="542" spans="1:14" x14ac:dyDescent="0.3">
      <c r="A542">
        <v>477</v>
      </c>
      <c r="B542">
        <v>10057</v>
      </c>
      <c r="C542" t="s">
        <v>500</v>
      </c>
      <c r="D542" t="s">
        <v>23</v>
      </c>
      <c r="E542" t="s">
        <v>16</v>
      </c>
      <c r="F542" t="s">
        <v>17</v>
      </c>
      <c r="G542" t="s">
        <v>13</v>
      </c>
      <c r="H542">
        <v>31373.71</v>
      </c>
      <c r="I542">
        <v>0</v>
      </c>
      <c r="J542" t="str">
        <f t="shared" si="40"/>
        <v>High</v>
      </c>
      <c r="K542" t="str">
        <f t="shared" si="41"/>
        <v>Normal</v>
      </c>
      <c r="L542">
        <f t="shared" si="42"/>
        <v>1</v>
      </c>
      <c r="M542">
        <f t="shared" si="43"/>
        <v>1</v>
      </c>
      <c r="N542" s="6">
        <f t="shared" si="44"/>
        <v>45677</v>
      </c>
    </row>
    <row r="543" spans="1:14" x14ac:dyDescent="0.3">
      <c r="A543">
        <v>478</v>
      </c>
      <c r="B543">
        <v>10054</v>
      </c>
      <c r="C543" t="s">
        <v>501</v>
      </c>
      <c r="D543" t="s">
        <v>10</v>
      </c>
      <c r="E543" t="s">
        <v>16</v>
      </c>
      <c r="F543" t="s">
        <v>17</v>
      </c>
      <c r="G543" t="s">
        <v>18</v>
      </c>
      <c r="H543">
        <v>83666.2</v>
      </c>
      <c r="I543">
        <v>0</v>
      </c>
      <c r="J543" t="str">
        <f t="shared" si="40"/>
        <v>High</v>
      </c>
      <c r="K543" t="str">
        <f t="shared" si="41"/>
        <v>Normal</v>
      </c>
      <c r="L543">
        <f t="shared" si="42"/>
        <v>1</v>
      </c>
      <c r="M543">
        <f t="shared" si="43"/>
        <v>1</v>
      </c>
      <c r="N543" s="6">
        <f t="shared" si="44"/>
        <v>45677</v>
      </c>
    </row>
    <row r="544" spans="1:14" x14ac:dyDescent="0.3">
      <c r="A544">
        <v>479</v>
      </c>
      <c r="B544">
        <v>10089</v>
      </c>
      <c r="C544" t="s">
        <v>502</v>
      </c>
      <c r="D544" t="s">
        <v>20</v>
      </c>
      <c r="E544" t="s">
        <v>11</v>
      </c>
      <c r="F544" t="s">
        <v>17</v>
      </c>
      <c r="G544" t="s">
        <v>13</v>
      </c>
      <c r="H544">
        <v>5116.42</v>
      </c>
      <c r="I544">
        <v>0</v>
      </c>
      <c r="J544" t="str">
        <f t="shared" si="40"/>
        <v>High</v>
      </c>
      <c r="K544" t="str">
        <f t="shared" si="41"/>
        <v>Normal</v>
      </c>
      <c r="L544">
        <f t="shared" si="42"/>
        <v>1</v>
      </c>
      <c r="M544">
        <f t="shared" si="43"/>
        <v>1</v>
      </c>
      <c r="N544" s="6">
        <f t="shared" si="44"/>
        <v>45677</v>
      </c>
    </row>
    <row r="545" spans="1:14" x14ac:dyDescent="0.3">
      <c r="A545">
        <v>480</v>
      </c>
      <c r="B545">
        <v>10089</v>
      </c>
      <c r="C545" t="s">
        <v>503</v>
      </c>
      <c r="D545" t="s">
        <v>15</v>
      </c>
      <c r="E545" t="s">
        <v>16</v>
      </c>
      <c r="F545" t="s">
        <v>12</v>
      </c>
      <c r="G545" t="s">
        <v>13</v>
      </c>
      <c r="H545">
        <v>46514.86</v>
      </c>
      <c r="I545">
        <v>0</v>
      </c>
      <c r="J545" t="str">
        <f t="shared" si="40"/>
        <v>High</v>
      </c>
      <c r="K545" t="str">
        <f t="shared" si="41"/>
        <v>Normal</v>
      </c>
      <c r="L545">
        <f t="shared" si="42"/>
        <v>1</v>
      </c>
      <c r="M545">
        <f t="shared" si="43"/>
        <v>1</v>
      </c>
      <c r="N545" s="6">
        <f t="shared" si="44"/>
        <v>45677</v>
      </c>
    </row>
    <row r="546" spans="1:14" x14ac:dyDescent="0.3">
      <c r="A546">
        <v>433</v>
      </c>
      <c r="B546">
        <v>10097</v>
      </c>
      <c r="C546" t="s">
        <v>456</v>
      </c>
      <c r="D546" t="s">
        <v>29</v>
      </c>
      <c r="E546" t="s">
        <v>16</v>
      </c>
      <c r="F546" t="s">
        <v>12</v>
      </c>
      <c r="G546" t="s">
        <v>18</v>
      </c>
      <c r="H546">
        <v>7749.17</v>
      </c>
      <c r="I546">
        <v>0</v>
      </c>
      <c r="J546" t="str">
        <f t="shared" si="40"/>
        <v>High</v>
      </c>
      <c r="K546" t="str">
        <f t="shared" si="41"/>
        <v>Normal</v>
      </c>
      <c r="L546">
        <f t="shared" si="42"/>
        <v>1</v>
      </c>
      <c r="M546">
        <f t="shared" si="43"/>
        <v>1</v>
      </c>
      <c r="N546" s="6">
        <f t="shared" si="44"/>
        <v>45676</v>
      </c>
    </row>
    <row r="547" spans="1:14" x14ac:dyDescent="0.3">
      <c r="A547">
        <v>434</v>
      </c>
      <c r="B547">
        <v>10065</v>
      </c>
      <c r="C547" t="s">
        <v>457</v>
      </c>
      <c r="D547" t="s">
        <v>15</v>
      </c>
      <c r="E547" t="s">
        <v>11</v>
      </c>
      <c r="F547" t="s">
        <v>12</v>
      </c>
      <c r="G547" t="s">
        <v>21</v>
      </c>
      <c r="H547">
        <v>42134.04</v>
      </c>
      <c r="I547">
        <v>0</v>
      </c>
      <c r="J547" t="str">
        <f t="shared" si="40"/>
        <v>High</v>
      </c>
      <c r="K547" t="str">
        <f t="shared" si="41"/>
        <v>Normal</v>
      </c>
      <c r="L547">
        <f t="shared" si="42"/>
        <v>1</v>
      </c>
      <c r="M547">
        <f t="shared" si="43"/>
        <v>1</v>
      </c>
      <c r="N547" s="6">
        <f t="shared" si="44"/>
        <v>45676</v>
      </c>
    </row>
    <row r="548" spans="1:14" x14ac:dyDescent="0.3">
      <c r="A548">
        <v>435</v>
      </c>
      <c r="B548">
        <v>10031</v>
      </c>
      <c r="C548" t="s">
        <v>458</v>
      </c>
      <c r="D548" t="s">
        <v>10</v>
      </c>
      <c r="E548" t="s">
        <v>16</v>
      </c>
      <c r="F548" t="s">
        <v>17</v>
      </c>
      <c r="G548" t="s">
        <v>21</v>
      </c>
      <c r="H548">
        <v>60208.05</v>
      </c>
      <c r="I548">
        <v>0</v>
      </c>
      <c r="J548" t="str">
        <f t="shared" si="40"/>
        <v>High</v>
      </c>
      <c r="K548" t="str">
        <f t="shared" si="41"/>
        <v>Normal</v>
      </c>
      <c r="L548">
        <f t="shared" si="42"/>
        <v>1</v>
      </c>
      <c r="M548">
        <f t="shared" si="43"/>
        <v>1</v>
      </c>
      <c r="N548" s="6">
        <f t="shared" si="44"/>
        <v>45676</v>
      </c>
    </row>
    <row r="549" spans="1:14" x14ac:dyDescent="0.3">
      <c r="A549">
        <v>436</v>
      </c>
      <c r="B549">
        <v>10086</v>
      </c>
      <c r="C549" t="s">
        <v>459</v>
      </c>
      <c r="D549" t="s">
        <v>15</v>
      </c>
      <c r="E549" t="s">
        <v>24</v>
      </c>
      <c r="F549" t="s">
        <v>17</v>
      </c>
      <c r="G549" t="s">
        <v>25</v>
      </c>
      <c r="H549">
        <v>93717.18</v>
      </c>
      <c r="I549">
        <v>0</v>
      </c>
      <c r="J549" t="str">
        <f t="shared" si="40"/>
        <v>High</v>
      </c>
      <c r="K549" t="str">
        <f t="shared" si="41"/>
        <v>Normal</v>
      </c>
      <c r="L549">
        <f t="shared" si="42"/>
        <v>1</v>
      </c>
      <c r="M549">
        <f t="shared" si="43"/>
        <v>1</v>
      </c>
      <c r="N549" s="6">
        <f t="shared" si="44"/>
        <v>45676</v>
      </c>
    </row>
    <row r="550" spans="1:14" x14ac:dyDescent="0.3">
      <c r="A550">
        <v>437</v>
      </c>
      <c r="B550">
        <v>10062</v>
      </c>
      <c r="C550" t="s">
        <v>460</v>
      </c>
      <c r="D550" t="s">
        <v>15</v>
      </c>
      <c r="E550" t="s">
        <v>11</v>
      </c>
      <c r="F550" t="s">
        <v>17</v>
      </c>
      <c r="G550" t="s">
        <v>13</v>
      </c>
      <c r="H550">
        <v>31249.03</v>
      </c>
      <c r="I550">
        <v>0</v>
      </c>
      <c r="J550" t="str">
        <f t="shared" si="40"/>
        <v>High</v>
      </c>
      <c r="K550" t="str">
        <f t="shared" si="41"/>
        <v>Normal</v>
      </c>
      <c r="L550">
        <f t="shared" si="42"/>
        <v>1</v>
      </c>
      <c r="M550">
        <f t="shared" si="43"/>
        <v>1</v>
      </c>
      <c r="N550" s="6">
        <f t="shared" si="44"/>
        <v>45676</v>
      </c>
    </row>
    <row r="551" spans="1:14" x14ac:dyDescent="0.3">
      <c r="A551">
        <v>438</v>
      </c>
      <c r="B551">
        <v>10085</v>
      </c>
      <c r="C551" t="s">
        <v>461</v>
      </c>
      <c r="D551" t="s">
        <v>20</v>
      </c>
      <c r="E551" t="s">
        <v>16</v>
      </c>
      <c r="F551" t="s">
        <v>17</v>
      </c>
      <c r="G551" t="s">
        <v>21</v>
      </c>
      <c r="H551">
        <v>25052.240000000002</v>
      </c>
      <c r="I551">
        <v>0</v>
      </c>
      <c r="J551" t="str">
        <f t="shared" si="40"/>
        <v>High</v>
      </c>
      <c r="K551" t="str">
        <f t="shared" si="41"/>
        <v>Normal</v>
      </c>
      <c r="L551">
        <f t="shared" si="42"/>
        <v>1</v>
      </c>
      <c r="M551">
        <f t="shared" si="43"/>
        <v>1</v>
      </c>
      <c r="N551" s="6">
        <f t="shared" si="44"/>
        <v>45676</v>
      </c>
    </row>
    <row r="552" spans="1:14" x14ac:dyDescent="0.3">
      <c r="A552">
        <v>439</v>
      </c>
      <c r="B552">
        <v>10050</v>
      </c>
      <c r="C552" t="s">
        <v>462</v>
      </c>
      <c r="D552" t="s">
        <v>23</v>
      </c>
      <c r="E552" t="s">
        <v>16</v>
      </c>
      <c r="F552" t="s">
        <v>12</v>
      </c>
      <c r="G552" t="s">
        <v>18</v>
      </c>
      <c r="H552">
        <v>65450.6</v>
      </c>
      <c r="I552">
        <v>0</v>
      </c>
      <c r="J552" t="str">
        <f t="shared" si="40"/>
        <v>High</v>
      </c>
      <c r="K552" t="str">
        <f t="shared" si="41"/>
        <v>Normal</v>
      </c>
      <c r="L552">
        <f t="shared" si="42"/>
        <v>1</v>
      </c>
      <c r="M552">
        <f t="shared" si="43"/>
        <v>1</v>
      </c>
      <c r="N552" s="6">
        <f t="shared" si="44"/>
        <v>45676</v>
      </c>
    </row>
    <row r="553" spans="1:14" x14ac:dyDescent="0.3">
      <c r="A553">
        <v>440</v>
      </c>
      <c r="B553">
        <v>10024</v>
      </c>
      <c r="C553" t="s">
        <v>463</v>
      </c>
      <c r="D553" t="s">
        <v>29</v>
      </c>
      <c r="E553" t="s">
        <v>16</v>
      </c>
      <c r="F553" t="s">
        <v>17</v>
      </c>
      <c r="G553" t="s">
        <v>21</v>
      </c>
      <c r="H553">
        <v>61961.98</v>
      </c>
      <c r="I553">
        <v>0</v>
      </c>
      <c r="J553" t="str">
        <f t="shared" si="40"/>
        <v>High</v>
      </c>
      <c r="K553" t="str">
        <f t="shared" si="41"/>
        <v>Normal</v>
      </c>
      <c r="L553">
        <f t="shared" si="42"/>
        <v>1</v>
      </c>
      <c r="M553">
        <f t="shared" si="43"/>
        <v>1</v>
      </c>
      <c r="N553" s="6">
        <f t="shared" si="44"/>
        <v>45676</v>
      </c>
    </row>
    <row r="554" spans="1:14" x14ac:dyDescent="0.3">
      <c r="A554">
        <v>441</v>
      </c>
      <c r="B554">
        <v>10057</v>
      </c>
      <c r="C554" t="s">
        <v>464</v>
      </c>
      <c r="D554" t="s">
        <v>15</v>
      </c>
      <c r="E554" t="s">
        <v>24</v>
      </c>
      <c r="F554" t="s">
        <v>17</v>
      </c>
      <c r="G554" t="s">
        <v>18</v>
      </c>
      <c r="H554">
        <v>33277.769999999997</v>
      </c>
      <c r="I554">
        <v>0</v>
      </c>
      <c r="J554" t="str">
        <f t="shared" si="40"/>
        <v>High</v>
      </c>
      <c r="K554" t="str">
        <f t="shared" si="41"/>
        <v>Normal</v>
      </c>
      <c r="L554">
        <f t="shared" si="42"/>
        <v>1</v>
      </c>
      <c r="M554">
        <f t="shared" si="43"/>
        <v>1</v>
      </c>
      <c r="N554" s="6">
        <f t="shared" si="44"/>
        <v>45676</v>
      </c>
    </row>
    <row r="555" spans="1:14" x14ac:dyDescent="0.3">
      <c r="A555">
        <v>442</v>
      </c>
      <c r="B555">
        <v>10062</v>
      </c>
      <c r="C555" t="s">
        <v>465</v>
      </c>
      <c r="D555" t="s">
        <v>29</v>
      </c>
      <c r="E555" t="s">
        <v>24</v>
      </c>
      <c r="F555" t="s">
        <v>17</v>
      </c>
      <c r="G555" t="s">
        <v>31</v>
      </c>
      <c r="H555">
        <v>92817.37</v>
      </c>
      <c r="I555">
        <v>0</v>
      </c>
      <c r="J555" t="str">
        <f t="shared" si="40"/>
        <v>High</v>
      </c>
      <c r="K555" t="str">
        <f t="shared" si="41"/>
        <v>Normal</v>
      </c>
      <c r="L555">
        <f t="shared" si="42"/>
        <v>1</v>
      </c>
      <c r="M555">
        <f t="shared" si="43"/>
        <v>1</v>
      </c>
      <c r="N555" s="6">
        <f t="shared" si="44"/>
        <v>45676</v>
      </c>
    </row>
    <row r="556" spans="1:14" x14ac:dyDescent="0.3">
      <c r="A556">
        <v>443</v>
      </c>
      <c r="B556">
        <v>10061</v>
      </c>
      <c r="C556" t="s">
        <v>466</v>
      </c>
      <c r="D556" t="s">
        <v>15</v>
      </c>
      <c r="E556" t="s">
        <v>16</v>
      </c>
      <c r="F556" t="s">
        <v>12</v>
      </c>
      <c r="G556" t="s">
        <v>31</v>
      </c>
      <c r="H556">
        <v>84501.75</v>
      </c>
      <c r="I556">
        <v>0</v>
      </c>
      <c r="J556" t="str">
        <f t="shared" si="40"/>
        <v>High</v>
      </c>
      <c r="K556" t="str">
        <f t="shared" si="41"/>
        <v>Normal</v>
      </c>
      <c r="L556">
        <f t="shared" si="42"/>
        <v>1</v>
      </c>
      <c r="M556">
        <f t="shared" si="43"/>
        <v>1</v>
      </c>
      <c r="N556" s="6">
        <f t="shared" si="44"/>
        <v>45676</v>
      </c>
    </row>
    <row r="557" spans="1:14" x14ac:dyDescent="0.3">
      <c r="A557">
        <v>444</v>
      </c>
      <c r="B557">
        <v>10021</v>
      </c>
      <c r="C557" t="s">
        <v>467</v>
      </c>
      <c r="D557" t="s">
        <v>10</v>
      </c>
      <c r="E557" t="s">
        <v>11</v>
      </c>
      <c r="F557" t="s">
        <v>12</v>
      </c>
      <c r="G557" t="s">
        <v>18</v>
      </c>
      <c r="H557">
        <v>22475.86</v>
      </c>
      <c r="I557">
        <v>0</v>
      </c>
      <c r="J557" t="str">
        <f t="shared" si="40"/>
        <v>High</v>
      </c>
      <c r="K557" t="str">
        <f t="shared" si="41"/>
        <v>Normal</v>
      </c>
      <c r="L557">
        <f t="shared" si="42"/>
        <v>1</v>
      </c>
      <c r="M557">
        <f t="shared" si="43"/>
        <v>1</v>
      </c>
      <c r="N557" s="6">
        <f t="shared" si="44"/>
        <v>45676</v>
      </c>
    </row>
    <row r="558" spans="1:14" x14ac:dyDescent="0.3">
      <c r="A558">
        <v>445</v>
      </c>
      <c r="B558">
        <v>10057</v>
      </c>
      <c r="C558" t="s">
        <v>468</v>
      </c>
      <c r="D558" t="s">
        <v>15</v>
      </c>
      <c r="E558" t="s">
        <v>11</v>
      </c>
      <c r="F558" t="s">
        <v>17</v>
      </c>
      <c r="G558" t="s">
        <v>13</v>
      </c>
      <c r="H558">
        <v>23990.34</v>
      </c>
      <c r="I558">
        <v>0</v>
      </c>
      <c r="J558" t="str">
        <f t="shared" si="40"/>
        <v>High</v>
      </c>
      <c r="K558" t="str">
        <f t="shared" si="41"/>
        <v>Normal</v>
      </c>
      <c r="L558">
        <f t="shared" si="42"/>
        <v>1</v>
      </c>
      <c r="M558">
        <f t="shared" si="43"/>
        <v>1</v>
      </c>
      <c r="N558" s="6">
        <f t="shared" si="44"/>
        <v>45676</v>
      </c>
    </row>
    <row r="559" spans="1:14" x14ac:dyDescent="0.3">
      <c r="A559">
        <v>446</v>
      </c>
      <c r="B559">
        <v>10057</v>
      </c>
      <c r="C559" t="s">
        <v>469</v>
      </c>
      <c r="D559" t="s">
        <v>20</v>
      </c>
      <c r="E559" t="s">
        <v>24</v>
      </c>
      <c r="F559" t="s">
        <v>17</v>
      </c>
      <c r="G559" t="s">
        <v>21</v>
      </c>
      <c r="H559">
        <v>51278.8</v>
      </c>
      <c r="I559">
        <v>0</v>
      </c>
      <c r="J559" t="str">
        <f t="shared" si="40"/>
        <v>High</v>
      </c>
      <c r="K559" t="str">
        <f t="shared" si="41"/>
        <v>Normal</v>
      </c>
      <c r="L559">
        <f t="shared" si="42"/>
        <v>1</v>
      </c>
      <c r="M559">
        <f t="shared" si="43"/>
        <v>1</v>
      </c>
      <c r="N559" s="6">
        <f t="shared" si="44"/>
        <v>45676</v>
      </c>
    </row>
    <row r="560" spans="1:14" x14ac:dyDescent="0.3">
      <c r="A560">
        <v>447</v>
      </c>
      <c r="B560">
        <v>10085</v>
      </c>
      <c r="C560" t="s">
        <v>470</v>
      </c>
      <c r="D560" t="s">
        <v>23</v>
      </c>
      <c r="E560" t="s">
        <v>11</v>
      </c>
      <c r="F560" t="s">
        <v>17</v>
      </c>
      <c r="G560" t="s">
        <v>21</v>
      </c>
      <c r="H560">
        <v>77379.850000000006</v>
      </c>
      <c r="I560">
        <v>1</v>
      </c>
      <c r="J560" t="str">
        <f t="shared" si="40"/>
        <v>High</v>
      </c>
      <c r="K560" t="str">
        <f t="shared" si="41"/>
        <v>High Risk</v>
      </c>
      <c r="L560">
        <f t="shared" si="42"/>
        <v>1</v>
      </c>
      <c r="M560">
        <f t="shared" si="43"/>
        <v>1</v>
      </c>
      <c r="N560" s="6">
        <f t="shared" si="44"/>
        <v>45676</v>
      </c>
    </row>
    <row r="561" spans="1:14" x14ac:dyDescent="0.3">
      <c r="A561">
        <v>448</v>
      </c>
      <c r="B561">
        <v>10048</v>
      </c>
      <c r="C561" t="s">
        <v>471</v>
      </c>
      <c r="D561" t="s">
        <v>10</v>
      </c>
      <c r="E561" t="s">
        <v>24</v>
      </c>
      <c r="F561" t="s">
        <v>12</v>
      </c>
      <c r="G561" t="s">
        <v>31</v>
      </c>
      <c r="H561">
        <v>4499.63</v>
      </c>
      <c r="I561">
        <v>0</v>
      </c>
      <c r="J561" t="str">
        <f t="shared" si="40"/>
        <v>High</v>
      </c>
      <c r="K561" t="str">
        <f t="shared" si="41"/>
        <v>Normal</v>
      </c>
      <c r="L561">
        <f t="shared" si="42"/>
        <v>1</v>
      </c>
      <c r="M561">
        <f t="shared" si="43"/>
        <v>1</v>
      </c>
      <c r="N561" s="6">
        <f t="shared" si="44"/>
        <v>45676</v>
      </c>
    </row>
    <row r="562" spans="1:14" x14ac:dyDescent="0.3">
      <c r="A562">
        <v>449</v>
      </c>
      <c r="B562">
        <v>10051</v>
      </c>
      <c r="C562" t="s">
        <v>472</v>
      </c>
      <c r="D562" t="s">
        <v>15</v>
      </c>
      <c r="E562" t="s">
        <v>16</v>
      </c>
      <c r="F562" t="s">
        <v>12</v>
      </c>
      <c r="G562" t="s">
        <v>18</v>
      </c>
      <c r="H562">
        <v>69364.179999999993</v>
      </c>
      <c r="I562">
        <v>0</v>
      </c>
      <c r="J562" t="str">
        <f t="shared" si="40"/>
        <v>High</v>
      </c>
      <c r="K562" t="str">
        <f t="shared" si="41"/>
        <v>Normal</v>
      </c>
      <c r="L562">
        <f t="shared" si="42"/>
        <v>1</v>
      </c>
      <c r="M562">
        <f t="shared" si="43"/>
        <v>1</v>
      </c>
      <c r="N562" s="6">
        <f t="shared" si="44"/>
        <v>45676</v>
      </c>
    </row>
    <row r="563" spans="1:14" x14ac:dyDescent="0.3">
      <c r="A563">
        <v>450</v>
      </c>
      <c r="B563">
        <v>10041</v>
      </c>
      <c r="C563" t="s">
        <v>473</v>
      </c>
      <c r="D563" t="s">
        <v>29</v>
      </c>
      <c r="E563" t="s">
        <v>24</v>
      </c>
      <c r="F563" t="s">
        <v>12</v>
      </c>
      <c r="G563" t="s">
        <v>21</v>
      </c>
      <c r="H563">
        <v>64858.77</v>
      </c>
      <c r="I563">
        <v>0</v>
      </c>
      <c r="J563" t="str">
        <f t="shared" si="40"/>
        <v>High</v>
      </c>
      <c r="K563" t="str">
        <f t="shared" si="41"/>
        <v>Normal</v>
      </c>
      <c r="L563">
        <f t="shared" si="42"/>
        <v>1</v>
      </c>
      <c r="M563">
        <f t="shared" si="43"/>
        <v>1</v>
      </c>
      <c r="N563" s="6">
        <f t="shared" si="44"/>
        <v>45676</v>
      </c>
    </row>
    <row r="564" spans="1:14" x14ac:dyDescent="0.3">
      <c r="A564">
        <v>451</v>
      </c>
      <c r="B564">
        <v>10069</v>
      </c>
      <c r="C564" t="s">
        <v>474</v>
      </c>
      <c r="D564" t="s">
        <v>10</v>
      </c>
      <c r="E564" t="s">
        <v>24</v>
      </c>
      <c r="F564" t="s">
        <v>17</v>
      </c>
      <c r="G564" t="s">
        <v>21</v>
      </c>
      <c r="H564">
        <v>23224.86</v>
      </c>
      <c r="I564">
        <v>0</v>
      </c>
      <c r="J564" t="str">
        <f t="shared" si="40"/>
        <v>High</v>
      </c>
      <c r="K564" t="str">
        <f t="shared" si="41"/>
        <v>Normal</v>
      </c>
      <c r="L564">
        <f t="shared" si="42"/>
        <v>1</v>
      </c>
      <c r="M564">
        <f t="shared" si="43"/>
        <v>1</v>
      </c>
      <c r="N564" s="6">
        <f t="shared" si="44"/>
        <v>45676</v>
      </c>
    </row>
    <row r="565" spans="1:14" x14ac:dyDescent="0.3">
      <c r="A565">
        <v>452</v>
      </c>
      <c r="B565">
        <v>10014</v>
      </c>
      <c r="C565" t="s">
        <v>475</v>
      </c>
      <c r="D565" t="s">
        <v>10</v>
      </c>
      <c r="E565" t="s">
        <v>16</v>
      </c>
      <c r="F565" t="s">
        <v>12</v>
      </c>
      <c r="G565" t="s">
        <v>13</v>
      </c>
      <c r="H565">
        <v>68167.17</v>
      </c>
      <c r="I565">
        <v>0</v>
      </c>
      <c r="J565" t="str">
        <f t="shared" si="40"/>
        <v>High</v>
      </c>
      <c r="K565" t="str">
        <f t="shared" si="41"/>
        <v>Normal</v>
      </c>
      <c r="L565">
        <f t="shared" si="42"/>
        <v>1</v>
      </c>
      <c r="M565">
        <f t="shared" si="43"/>
        <v>1</v>
      </c>
      <c r="N565" s="6">
        <f t="shared" si="44"/>
        <v>45676</v>
      </c>
    </row>
    <row r="566" spans="1:14" x14ac:dyDescent="0.3">
      <c r="A566">
        <v>453</v>
      </c>
      <c r="B566">
        <v>10053</v>
      </c>
      <c r="C566" t="s">
        <v>476</v>
      </c>
      <c r="D566" t="s">
        <v>15</v>
      </c>
      <c r="E566" t="s">
        <v>11</v>
      </c>
      <c r="F566" t="s">
        <v>17</v>
      </c>
      <c r="G566" t="s">
        <v>25</v>
      </c>
      <c r="H566">
        <v>94024.3</v>
      </c>
      <c r="I566">
        <v>1</v>
      </c>
      <c r="J566" t="str">
        <f t="shared" si="40"/>
        <v>High</v>
      </c>
      <c r="K566" t="str">
        <f t="shared" si="41"/>
        <v>High Risk</v>
      </c>
      <c r="L566">
        <f t="shared" si="42"/>
        <v>1</v>
      </c>
      <c r="M566">
        <f t="shared" si="43"/>
        <v>1</v>
      </c>
      <c r="N566" s="6">
        <f t="shared" si="44"/>
        <v>45676</v>
      </c>
    </row>
    <row r="567" spans="1:14" x14ac:dyDescent="0.3">
      <c r="A567">
        <v>454</v>
      </c>
      <c r="B567">
        <v>10059</v>
      </c>
      <c r="C567" t="s">
        <v>477</v>
      </c>
      <c r="D567" t="s">
        <v>10</v>
      </c>
      <c r="E567" t="s">
        <v>24</v>
      </c>
      <c r="F567" t="s">
        <v>17</v>
      </c>
      <c r="G567" t="s">
        <v>31</v>
      </c>
      <c r="H567">
        <v>4773.91</v>
      </c>
      <c r="I567">
        <v>0</v>
      </c>
      <c r="J567" t="str">
        <f t="shared" si="40"/>
        <v>High</v>
      </c>
      <c r="K567" t="str">
        <f t="shared" si="41"/>
        <v>Normal</v>
      </c>
      <c r="L567">
        <f t="shared" si="42"/>
        <v>1</v>
      </c>
      <c r="M567">
        <f t="shared" si="43"/>
        <v>1</v>
      </c>
      <c r="N567" s="6">
        <f t="shared" si="44"/>
        <v>45676</v>
      </c>
    </row>
    <row r="568" spans="1:14" x14ac:dyDescent="0.3">
      <c r="A568">
        <v>455</v>
      </c>
      <c r="B568">
        <v>10096</v>
      </c>
      <c r="C568" t="s">
        <v>478</v>
      </c>
      <c r="D568" t="s">
        <v>29</v>
      </c>
      <c r="E568" t="s">
        <v>24</v>
      </c>
      <c r="F568" t="s">
        <v>17</v>
      </c>
      <c r="G568" t="s">
        <v>31</v>
      </c>
      <c r="H568">
        <v>32033.24</v>
      </c>
      <c r="I568">
        <v>0</v>
      </c>
      <c r="J568" t="str">
        <f t="shared" si="40"/>
        <v>High</v>
      </c>
      <c r="K568" t="str">
        <f t="shared" si="41"/>
        <v>Normal</v>
      </c>
      <c r="L568">
        <f t="shared" si="42"/>
        <v>1</v>
      </c>
      <c r="M568">
        <f t="shared" si="43"/>
        <v>1</v>
      </c>
      <c r="N568" s="6">
        <f t="shared" si="44"/>
        <v>45676</v>
      </c>
    </row>
    <row r="569" spans="1:14" x14ac:dyDescent="0.3">
      <c r="A569">
        <v>456</v>
      </c>
      <c r="B569">
        <v>10007</v>
      </c>
      <c r="C569" t="s">
        <v>479</v>
      </c>
      <c r="D569" t="s">
        <v>10</v>
      </c>
      <c r="E569" t="s">
        <v>16</v>
      </c>
      <c r="F569" t="s">
        <v>12</v>
      </c>
      <c r="G569" t="s">
        <v>25</v>
      </c>
      <c r="H569">
        <v>43873.85</v>
      </c>
      <c r="I569">
        <v>0</v>
      </c>
      <c r="J569" t="str">
        <f t="shared" si="40"/>
        <v>High</v>
      </c>
      <c r="K569" t="str">
        <f t="shared" si="41"/>
        <v>Normal</v>
      </c>
      <c r="L569">
        <f t="shared" si="42"/>
        <v>1</v>
      </c>
      <c r="M569">
        <f t="shared" si="43"/>
        <v>1</v>
      </c>
      <c r="N569" s="6">
        <f t="shared" si="44"/>
        <v>45676</v>
      </c>
    </row>
    <row r="570" spans="1:14" x14ac:dyDescent="0.3">
      <c r="A570">
        <v>409</v>
      </c>
      <c r="B570">
        <v>10047</v>
      </c>
      <c r="C570" t="s">
        <v>432</v>
      </c>
      <c r="D570" t="s">
        <v>15</v>
      </c>
      <c r="E570" t="s">
        <v>24</v>
      </c>
      <c r="F570" t="s">
        <v>12</v>
      </c>
      <c r="G570" t="s">
        <v>25</v>
      </c>
      <c r="H570">
        <v>13874.74</v>
      </c>
      <c r="I570">
        <v>0</v>
      </c>
      <c r="J570" t="str">
        <f t="shared" si="40"/>
        <v>High</v>
      </c>
      <c r="K570" t="str">
        <f t="shared" si="41"/>
        <v>Normal</v>
      </c>
      <c r="L570">
        <f t="shared" si="42"/>
        <v>1</v>
      </c>
      <c r="M570">
        <f t="shared" si="43"/>
        <v>1</v>
      </c>
      <c r="N570" s="6">
        <f t="shared" si="44"/>
        <v>45675</v>
      </c>
    </row>
    <row r="571" spans="1:14" x14ac:dyDescent="0.3">
      <c r="A571">
        <v>410</v>
      </c>
      <c r="B571">
        <v>10038</v>
      </c>
      <c r="C571" t="s">
        <v>433</v>
      </c>
      <c r="D571" t="s">
        <v>15</v>
      </c>
      <c r="E571" t="s">
        <v>11</v>
      </c>
      <c r="F571" t="s">
        <v>17</v>
      </c>
      <c r="G571" t="s">
        <v>21</v>
      </c>
      <c r="H571">
        <v>68907.38</v>
      </c>
      <c r="I571">
        <v>1</v>
      </c>
      <c r="J571" t="str">
        <f t="shared" si="40"/>
        <v>High</v>
      </c>
      <c r="K571" t="str">
        <f t="shared" si="41"/>
        <v>High Risk</v>
      </c>
      <c r="L571">
        <f t="shared" si="42"/>
        <v>1</v>
      </c>
      <c r="M571">
        <f t="shared" si="43"/>
        <v>1</v>
      </c>
      <c r="N571" s="6">
        <f t="shared" si="44"/>
        <v>45675</v>
      </c>
    </row>
    <row r="572" spans="1:14" x14ac:dyDescent="0.3">
      <c r="A572">
        <v>411</v>
      </c>
      <c r="B572">
        <v>10092</v>
      </c>
      <c r="C572" t="s">
        <v>434</v>
      </c>
      <c r="D572" t="s">
        <v>15</v>
      </c>
      <c r="E572" t="s">
        <v>16</v>
      </c>
      <c r="F572" t="s">
        <v>17</v>
      </c>
      <c r="G572" t="s">
        <v>21</v>
      </c>
      <c r="H572">
        <v>89784.58</v>
      </c>
      <c r="I572">
        <v>0</v>
      </c>
      <c r="J572" t="str">
        <f t="shared" si="40"/>
        <v>High</v>
      </c>
      <c r="K572" t="str">
        <f t="shared" si="41"/>
        <v>Normal</v>
      </c>
      <c r="L572">
        <f t="shared" si="42"/>
        <v>1</v>
      </c>
      <c r="M572">
        <f t="shared" si="43"/>
        <v>1</v>
      </c>
      <c r="N572" s="6">
        <f t="shared" si="44"/>
        <v>45675</v>
      </c>
    </row>
    <row r="573" spans="1:14" x14ac:dyDescent="0.3">
      <c r="A573">
        <v>412</v>
      </c>
      <c r="B573">
        <v>10041</v>
      </c>
      <c r="C573" t="s">
        <v>435</v>
      </c>
      <c r="D573" t="s">
        <v>15</v>
      </c>
      <c r="E573" t="s">
        <v>16</v>
      </c>
      <c r="F573" t="s">
        <v>17</v>
      </c>
      <c r="G573" t="s">
        <v>13</v>
      </c>
      <c r="H573">
        <v>74543.429999999993</v>
      </c>
      <c r="I573">
        <v>0</v>
      </c>
      <c r="J573" t="str">
        <f t="shared" si="40"/>
        <v>High</v>
      </c>
      <c r="K573" t="str">
        <f t="shared" si="41"/>
        <v>Normal</v>
      </c>
      <c r="L573">
        <f t="shared" si="42"/>
        <v>1</v>
      </c>
      <c r="M573">
        <f t="shared" si="43"/>
        <v>1</v>
      </c>
      <c r="N573" s="6">
        <f t="shared" si="44"/>
        <v>45675</v>
      </c>
    </row>
    <row r="574" spans="1:14" x14ac:dyDescent="0.3">
      <c r="A574">
        <v>413</v>
      </c>
      <c r="B574">
        <v>10025</v>
      </c>
      <c r="C574" t="s">
        <v>436</v>
      </c>
      <c r="D574" t="s">
        <v>15</v>
      </c>
      <c r="E574" t="s">
        <v>11</v>
      </c>
      <c r="F574" t="s">
        <v>17</v>
      </c>
      <c r="G574" t="s">
        <v>25</v>
      </c>
      <c r="H574">
        <v>7736.34</v>
      </c>
      <c r="I574">
        <v>0</v>
      </c>
      <c r="J574" t="str">
        <f t="shared" si="40"/>
        <v>High</v>
      </c>
      <c r="K574" t="str">
        <f t="shared" si="41"/>
        <v>Normal</v>
      </c>
      <c r="L574">
        <f t="shared" si="42"/>
        <v>1</v>
      </c>
      <c r="M574">
        <f t="shared" si="43"/>
        <v>1</v>
      </c>
      <c r="N574" s="6">
        <f t="shared" si="44"/>
        <v>45675</v>
      </c>
    </row>
    <row r="575" spans="1:14" x14ac:dyDescent="0.3">
      <c r="A575">
        <v>414</v>
      </c>
      <c r="B575">
        <v>10098</v>
      </c>
      <c r="C575" t="s">
        <v>437</v>
      </c>
      <c r="D575" t="s">
        <v>29</v>
      </c>
      <c r="E575" t="s">
        <v>16</v>
      </c>
      <c r="F575" t="s">
        <v>17</v>
      </c>
      <c r="G575" t="s">
        <v>21</v>
      </c>
      <c r="H575">
        <v>89598.83</v>
      </c>
      <c r="I575">
        <v>0</v>
      </c>
      <c r="J575" t="str">
        <f t="shared" si="40"/>
        <v>High</v>
      </c>
      <c r="K575" t="str">
        <f t="shared" si="41"/>
        <v>Normal</v>
      </c>
      <c r="L575">
        <f t="shared" si="42"/>
        <v>1</v>
      </c>
      <c r="M575">
        <f t="shared" si="43"/>
        <v>1</v>
      </c>
      <c r="N575" s="6">
        <f t="shared" si="44"/>
        <v>45675</v>
      </c>
    </row>
    <row r="576" spans="1:14" x14ac:dyDescent="0.3">
      <c r="A576">
        <v>415</v>
      </c>
      <c r="B576">
        <v>10049</v>
      </c>
      <c r="C576" t="s">
        <v>438</v>
      </c>
      <c r="D576" t="s">
        <v>23</v>
      </c>
      <c r="E576" t="s">
        <v>16</v>
      </c>
      <c r="F576" t="s">
        <v>12</v>
      </c>
      <c r="G576" t="s">
        <v>21</v>
      </c>
      <c r="H576">
        <v>79413.55</v>
      </c>
      <c r="I576">
        <v>0</v>
      </c>
      <c r="J576" t="str">
        <f t="shared" si="40"/>
        <v>High</v>
      </c>
      <c r="K576" t="str">
        <f t="shared" si="41"/>
        <v>Normal</v>
      </c>
      <c r="L576">
        <f t="shared" si="42"/>
        <v>1</v>
      </c>
      <c r="M576">
        <f t="shared" si="43"/>
        <v>1</v>
      </c>
      <c r="N576" s="6">
        <f t="shared" si="44"/>
        <v>45675</v>
      </c>
    </row>
    <row r="577" spans="1:14" x14ac:dyDescent="0.3">
      <c r="A577">
        <v>416</v>
      </c>
      <c r="B577">
        <v>10024</v>
      </c>
      <c r="C577" t="s">
        <v>439</v>
      </c>
      <c r="D577" t="s">
        <v>10</v>
      </c>
      <c r="E577" t="s">
        <v>11</v>
      </c>
      <c r="F577" t="s">
        <v>12</v>
      </c>
      <c r="G577" t="s">
        <v>31</v>
      </c>
      <c r="H577">
        <v>15914.56</v>
      </c>
      <c r="I577">
        <v>0</v>
      </c>
      <c r="J577" t="str">
        <f t="shared" si="40"/>
        <v>High</v>
      </c>
      <c r="K577" t="str">
        <f t="shared" si="41"/>
        <v>Normal</v>
      </c>
      <c r="L577">
        <f t="shared" si="42"/>
        <v>1</v>
      </c>
      <c r="M577">
        <f t="shared" si="43"/>
        <v>1</v>
      </c>
      <c r="N577" s="6">
        <f t="shared" si="44"/>
        <v>45675</v>
      </c>
    </row>
    <row r="578" spans="1:14" x14ac:dyDescent="0.3">
      <c r="A578">
        <v>417</v>
      </c>
      <c r="B578">
        <v>10023</v>
      </c>
      <c r="C578" t="s">
        <v>440</v>
      </c>
      <c r="D578" t="s">
        <v>15</v>
      </c>
      <c r="E578" t="s">
        <v>16</v>
      </c>
      <c r="F578" t="s">
        <v>12</v>
      </c>
      <c r="G578" t="s">
        <v>31</v>
      </c>
      <c r="H578">
        <v>5273.41</v>
      </c>
      <c r="I578">
        <v>0</v>
      </c>
      <c r="J578" t="str">
        <f t="shared" ref="J578:J641" si="45">IF(E578&gt;50000,"High","Normal")</f>
        <v>High</v>
      </c>
      <c r="K578" t="str">
        <f t="shared" ref="K578:K641" si="46">IF(AND(H578&gt;50000,E578="Online"),"High Risk","Normal")</f>
        <v>Normal</v>
      </c>
      <c r="L578">
        <f t="shared" ref="L578:L641" si="47">COUNTIFS(C:C,C578,B:B,B578)</f>
        <v>1</v>
      </c>
      <c r="M578">
        <f t="shared" ref="M578:M641" si="48">IF(E578&gt;50000,1,0) + IF(H578="Unusual",1,0) + IF(I578&gt;3,1,0)</f>
        <v>1</v>
      </c>
      <c r="N578" s="6">
        <f t="shared" ref="N578:N641" si="49">INT(C578)</f>
        <v>45675</v>
      </c>
    </row>
    <row r="579" spans="1:14" x14ac:dyDescent="0.3">
      <c r="A579">
        <v>418</v>
      </c>
      <c r="B579">
        <v>10012</v>
      </c>
      <c r="C579" t="s">
        <v>441</v>
      </c>
      <c r="D579" t="s">
        <v>23</v>
      </c>
      <c r="E579" t="s">
        <v>11</v>
      </c>
      <c r="F579" t="s">
        <v>12</v>
      </c>
      <c r="G579" t="s">
        <v>21</v>
      </c>
      <c r="H579">
        <v>55775.33</v>
      </c>
      <c r="I579">
        <v>1</v>
      </c>
      <c r="J579" t="str">
        <f t="shared" si="45"/>
        <v>High</v>
      </c>
      <c r="K579" t="str">
        <f t="shared" si="46"/>
        <v>High Risk</v>
      </c>
      <c r="L579">
        <f t="shared" si="47"/>
        <v>1</v>
      </c>
      <c r="M579">
        <f t="shared" si="48"/>
        <v>1</v>
      </c>
      <c r="N579" s="6">
        <f t="shared" si="49"/>
        <v>45675</v>
      </c>
    </row>
    <row r="580" spans="1:14" x14ac:dyDescent="0.3">
      <c r="A580">
        <v>419</v>
      </c>
      <c r="B580">
        <v>10059</v>
      </c>
      <c r="C580" t="s">
        <v>442</v>
      </c>
      <c r="D580" t="s">
        <v>23</v>
      </c>
      <c r="E580" t="s">
        <v>11</v>
      </c>
      <c r="F580" t="s">
        <v>12</v>
      </c>
      <c r="G580" t="s">
        <v>13</v>
      </c>
      <c r="H580">
        <v>15687.98</v>
      </c>
      <c r="I580">
        <v>0</v>
      </c>
      <c r="J580" t="str">
        <f t="shared" si="45"/>
        <v>High</v>
      </c>
      <c r="K580" t="str">
        <f t="shared" si="46"/>
        <v>Normal</v>
      </c>
      <c r="L580">
        <f t="shared" si="47"/>
        <v>1</v>
      </c>
      <c r="M580">
        <f t="shared" si="48"/>
        <v>1</v>
      </c>
      <c r="N580" s="6">
        <f t="shared" si="49"/>
        <v>45675</v>
      </c>
    </row>
    <row r="581" spans="1:14" x14ac:dyDescent="0.3">
      <c r="A581">
        <v>420</v>
      </c>
      <c r="B581">
        <v>10006</v>
      </c>
      <c r="C581" t="s">
        <v>443</v>
      </c>
      <c r="D581" t="s">
        <v>10</v>
      </c>
      <c r="E581" t="s">
        <v>24</v>
      </c>
      <c r="F581" t="s">
        <v>12</v>
      </c>
      <c r="G581" t="s">
        <v>18</v>
      </c>
      <c r="H581">
        <v>83475.64</v>
      </c>
      <c r="I581">
        <v>0</v>
      </c>
      <c r="J581" t="str">
        <f t="shared" si="45"/>
        <v>High</v>
      </c>
      <c r="K581" t="str">
        <f t="shared" si="46"/>
        <v>Normal</v>
      </c>
      <c r="L581">
        <f t="shared" si="47"/>
        <v>1</v>
      </c>
      <c r="M581">
        <f t="shared" si="48"/>
        <v>1</v>
      </c>
      <c r="N581" s="6">
        <f t="shared" si="49"/>
        <v>45675</v>
      </c>
    </row>
    <row r="582" spans="1:14" x14ac:dyDescent="0.3">
      <c r="A582">
        <v>421</v>
      </c>
      <c r="B582">
        <v>10056</v>
      </c>
      <c r="C582" t="s">
        <v>444</v>
      </c>
      <c r="D582" t="s">
        <v>29</v>
      </c>
      <c r="E582" t="s">
        <v>24</v>
      </c>
      <c r="F582" t="s">
        <v>17</v>
      </c>
      <c r="G582" t="s">
        <v>18</v>
      </c>
      <c r="H582">
        <v>35897.629999999997</v>
      </c>
      <c r="I582">
        <v>0</v>
      </c>
      <c r="J582" t="str">
        <f t="shared" si="45"/>
        <v>High</v>
      </c>
      <c r="K582" t="str">
        <f t="shared" si="46"/>
        <v>Normal</v>
      </c>
      <c r="L582">
        <f t="shared" si="47"/>
        <v>1</v>
      </c>
      <c r="M582">
        <f t="shared" si="48"/>
        <v>1</v>
      </c>
      <c r="N582" s="6">
        <f t="shared" si="49"/>
        <v>45675</v>
      </c>
    </row>
    <row r="583" spans="1:14" x14ac:dyDescent="0.3">
      <c r="A583">
        <v>422</v>
      </c>
      <c r="B583">
        <v>10035</v>
      </c>
      <c r="C583" t="s">
        <v>445</v>
      </c>
      <c r="D583" t="s">
        <v>20</v>
      </c>
      <c r="E583" t="s">
        <v>16</v>
      </c>
      <c r="F583" t="s">
        <v>17</v>
      </c>
      <c r="G583" t="s">
        <v>21</v>
      </c>
      <c r="H583">
        <v>91297.96</v>
      </c>
      <c r="I583">
        <v>0</v>
      </c>
      <c r="J583" t="str">
        <f t="shared" si="45"/>
        <v>High</v>
      </c>
      <c r="K583" t="str">
        <f t="shared" si="46"/>
        <v>Normal</v>
      </c>
      <c r="L583">
        <f t="shared" si="47"/>
        <v>1</v>
      </c>
      <c r="M583">
        <f t="shared" si="48"/>
        <v>1</v>
      </c>
      <c r="N583" s="6">
        <f t="shared" si="49"/>
        <v>45675</v>
      </c>
    </row>
    <row r="584" spans="1:14" x14ac:dyDescent="0.3">
      <c r="A584">
        <v>423</v>
      </c>
      <c r="B584">
        <v>10044</v>
      </c>
      <c r="C584" t="s">
        <v>446</v>
      </c>
      <c r="D584" t="s">
        <v>20</v>
      </c>
      <c r="E584" t="s">
        <v>16</v>
      </c>
      <c r="F584" t="s">
        <v>12</v>
      </c>
      <c r="G584" t="s">
        <v>21</v>
      </c>
      <c r="H584">
        <v>56612.25</v>
      </c>
      <c r="I584">
        <v>0</v>
      </c>
      <c r="J584" t="str">
        <f t="shared" si="45"/>
        <v>High</v>
      </c>
      <c r="K584" t="str">
        <f t="shared" si="46"/>
        <v>Normal</v>
      </c>
      <c r="L584">
        <f t="shared" si="47"/>
        <v>1</v>
      </c>
      <c r="M584">
        <f t="shared" si="48"/>
        <v>1</v>
      </c>
      <c r="N584" s="6">
        <f t="shared" si="49"/>
        <v>45675</v>
      </c>
    </row>
    <row r="585" spans="1:14" x14ac:dyDescent="0.3">
      <c r="A585">
        <v>424</v>
      </c>
      <c r="B585">
        <v>10019</v>
      </c>
      <c r="C585" t="s">
        <v>447</v>
      </c>
      <c r="D585" t="s">
        <v>23</v>
      </c>
      <c r="E585" t="s">
        <v>11</v>
      </c>
      <c r="F585" t="s">
        <v>12</v>
      </c>
      <c r="G585" t="s">
        <v>21</v>
      </c>
      <c r="H585">
        <v>18348.97</v>
      </c>
      <c r="I585">
        <v>0</v>
      </c>
      <c r="J585" t="str">
        <f t="shared" si="45"/>
        <v>High</v>
      </c>
      <c r="K585" t="str">
        <f t="shared" si="46"/>
        <v>Normal</v>
      </c>
      <c r="L585">
        <f t="shared" si="47"/>
        <v>1</v>
      </c>
      <c r="M585">
        <f t="shared" si="48"/>
        <v>1</v>
      </c>
      <c r="N585" s="6">
        <f t="shared" si="49"/>
        <v>45675</v>
      </c>
    </row>
    <row r="586" spans="1:14" x14ac:dyDescent="0.3">
      <c r="A586">
        <v>425</v>
      </c>
      <c r="B586">
        <v>10064</v>
      </c>
      <c r="C586" t="s">
        <v>448</v>
      </c>
      <c r="D586" t="s">
        <v>10</v>
      </c>
      <c r="E586" t="s">
        <v>16</v>
      </c>
      <c r="F586" t="s">
        <v>17</v>
      </c>
      <c r="G586" t="s">
        <v>13</v>
      </c>
      <c r="H586">
        <v>14045.93</v>
      </c>
      <c r="I586">
        <v>0</v>
      </c>
      <c r="J586" t="str">
        <f t="shared" si="45"/>
        <v>High</v>
      </c>
      <c r="K586" t="str">
        <f t="shared" si="46"/>
        <v>Normal</v>
      </c>
      <c r="L586">
        <f t="shared" si="47"/>
        <v>1</v>
      </c>
      <c r="M586">
        <f t="shared" si="48"/>
        <v>1</v>
      </c>
      <c r="N586" s="6">
        <f t="shared" si="49"/>
        <v>45675</v>
      </c>
    </row>
    <row r="587" spans="1:14" x14ac:dyDescent="0.3">
      <c r="A587">
        <v>426</v>
      </c>
      <c r="B587">
        <v>10007</v>
      </c>
      <c r="C587" t="s">
        <v>449</v>
      </c>
      <c r="D587" t="s">
        <v>20</v>
      </c>
      <c r="E587" t="s">
        <v>11</v>
      </c>
      <c r="F587" t="s">
        <v>17</v>
      </c>
      <c r="G587" t="s">
        <v>31</v>
      </c>
      <c r="H587">
        <v>57689.599999999999</v>
      </c>
      <c r="I587">
        <v>1</v>
      </c>
      <c r="J587" t="str">
        <f t="shared" si="45"/>
        <v>High</v>
      </c>
      <c r="K587" t="str">
        <f t="shared" si="46"/>
        <v>High Risk</v>
      </c>
      <c r="L587">
        <f t="shared" si="47"/>
        <v>1</v>
      </c>
      <c r="M587">
        <f t="shared" si="48"/>
        <v>1</v>
      </c>
      <c r="N587" s="6">
        <f t="shared" si="49"/>
        <v>45675</v>
      </c>
    </row>
    <row r="588" spans="1:14" x14ac:dyDescent="0.3">
      <c r="A588">
        <v>427</v>
      </c>
      <c r="B588">
        <v>10015</v>
      </c>
      <c r="C588" t="s">
        <v>450</v>
      </c>
      <c r="D588" t="s">
        <v>23</v>
      </c>
      <c r="E588" t="s">
        <v>11</v>
      </c>
      <c r="F588" t="s">
        <v>17</v>
      </c>
      <c r="G588" t="s">
        <v>21</v>
      </c>
      <c r="H588">
        <v>76212.17</v>
      </c>
      <c r="I588">
        <v>1</v>
      </c>
      <c r="J588" t="str">
        <f t="shared" si="45"/>
        <v>High</v>
      </c>
      <c r="K588" t="str">
        <f t="shared" si="46"/>
        <v>High Risk</v>
      </c>
      <c r="L588">
        <f t="shared" si="47"/>
        <v>1</v>
      </c>
      <c r="M588">
        <f t="shared" si="48"/>
        <v>1</v>
      </c>
      <c r="N588" s="6">
        <f t="shared" si="49"/>
        <v>45675</v>
      </c>
    </row>
    <row r="589" spans="1:14" x14ac:dyDescent="0.3">
      <c r="A589">
        <v>428</v>
      </c>
      <c r="B589">
        <v>10013</v>
      </c>
      <c r="C589" t="s">
        <v>451</v>
      </c>
      <c r="D589" t="s">
        <v>29</v>
      </c>
      <c r="E589" t="s">
        <v>16</v>
      </c>
      <c r="F589" t="s">
        <v>12</v>
      </c>
      <c r="G589" t="s">
        <v>21</v>
      </c>
      <c r="H589">
        <v>78172.41</v>
      </c>
      <c r="I589">
        <v>0</v>
      </c>
      <c r="J589" t="str">
        <f t="shared" si="45"/>
        <v>High</v>
      </c>
      <c r="K589" t="str">
        <f t="shared" si="46"/>
        <v>Normal</v>
      </c>
      <c r="L589">
        <f t="shared" si="47"/>
        <v>1</v>
      </c>
      <c r="M589">
        <f t="shared" si="48"/>
        <v>1</v>
      </c>
      <c r="N589" s="6">
        <f t="shared" si="49"/>
        <v>45675</v>
      </c>
    </row>
    <row r="590" spans="1:14" x14ac:dyDescent="0.3">
      <c r="A590">
        <v>429</v>
      </c>
      <c r="B590">
        <v>10075</v>
      </c>
      <c r="C590" t="s">
        <v>452</v>
      </c>
      <c r="D590" t="s">
        <v>20</v>
      </c>
      <c r="E590" t="s">
        <v>11</v>
      </c>
      <c r="F590" t="s">
        <v>12</v>
      </c>
      <c r="G590" t="s">
        <v>25</v>
      </c>
      <c r="H590">
        <v>27648.16</v>
      </c>
      <c r="I590">
        <v>0</v>
      </c>
      <c r="J590" t="str">
        <f t="shared" si="45"/>
        <v>High</v>
      </c>
      <c r="K590" t="str">
        <f t="shared" si="46"/>
        <v>Normal</v>
      </c>
      <c r="L590">
        <f t="shared" si="47"/>
        <v>1</v>
      </c>
      <c r="M590">
        <f t="shared" si="48"/>
        <v>1</v>
      </c>
      <c r="N590" s="6">
        <f t="shared" si="49"/>
        <v>45675</v>
      </c>
    </row>
    <row r="591" spans="1:14" x14ac:dyDescent="0.3">
      <c r="A591">
        <v>430</v>
      </c>
      <c r="B591">
        <v>10086</v>
      </c>
      <c r="C591" t="s">
        <v>453</v>
      </c>
      <c r="D591" t="s">
        <v>23</v>
      </c>
      <c r="E591" t="s">
        <v>24</v>
      </c>
      <c r="F591" t="s">
        <v>12</v>
      </c>
      <c r="G591" t="s">
        <v>13</v>
      </c>
      <c r="H591">
        <v>20504.25</v>
      </c>
      <c r="I591">
        <v>0</v>
      </c>
      <c r="J591" t="str">
        <f t="shared" si="45"/>
        <v>High</v>
      </c>
      <c r="K591" t="str">
        <f t="shared" si="46"/>
        <v>Normal</v>
      </c>
      <c r="L591">
        <f t="shared" si="47"/>
        <v>1</v>
      </c>
      <c r="M591">
        <f t="shared" si="48"/>
        <v>1</v>
      </c>
      <c r="N591" s="6">
        <f t="shared" si="49"/>
        <v>45675</v>
      </c>
    </row>
    <row r="592" spans="1:14" x14ac:dyDescent="0.3">
      <c r="A592">
        <v>431</v>
      </c>
      <c r="B592">
        <v>10014</v>
      </c>
      <c r="C592" t="s">
        <v>454</v>
      </c>
      <c r="D592" t="s">
        <v>23</v>
      </c>
      <c r="E592" t="s">
        <v>16</v>
      </c>
      <c r="F592" t="s">
        <v>17</v>
      </c>
      <c r="G592" t="s">
        <v>21</v>
      </c>
      <c r="H592">
        <v>1773.95</v>
      </c>
      <c r="I592">
        <v>0</v>
      </c>
      <c r="J592" t="str">
        <f t="shared" si="45"/>
        <v>High</v>
      </c>
      <c r="K592" t="str">
        <f t="shared" si="46"/>
        <v>Normal</v>
      </c>
      <c r="L592">
        <f t="shared" si="47"/>
        <v>1</v>
      </c>
      <c r="M592">
        <f t="shared" si="48"/>
        <v>1</v>
      </c>
      <c r="N592" s="6">
        <f t="shared" si="49"/>
        <v>45675</v>
      </c>
    </row>
    <row r="593" spans="1:14" x14ac:dyDescent="0.3">
      <c r="A593">
        <v>432</v>
      </c>
      <c r="B593">
        <v>10091</v>
      </c>
      <c r="C593" t="s">
        <v>455</v>
      </c>
      <c r="D593" t="s">
        <v>15</v>
      </c>
      <c r="E593" t="s">
        <v>24</v>
      </c>
      <c r="F593" t="s">
        <v>17</v>
      </c>
      <c r="G593" t="s">
        <v>25</v>
      </c>
      <c r="H593">
        <v>67952</v>
      </c>
      <c r="I593">
        <v>0</v>
      </c>
      <c r="J593" t="str">
        <f t="shared" si="45"/>
        <v>High</v>
      </c>
      <c r="K593" t="str">
        <f t="shared" si="46"/>
        <v>Normal</v>
      </c>
      <c r="L593">
        <f t="shared" si="47"/>
        <v>1</v>
      </c>
      <c r="M593">
        <f t="shared" si="48"/>
        <v>1</v>
      </c>
      <c r="N593" s="6">
        <f t="shared" si="49"/>
        <v>45675</v>
      </c>
    </row>
    <row r="594" spans="1:14" x14ac:dyDescent="0.3">
      <c r="A594">
        <v>385</v>
      </c>
      <c r="B594">
        <v>10031</v>
      </c>
      <c r="C594" t="s">
        <v>408</v>
      </c>
      <c r="D594" t="s">
        <v>23</v>
      </c>
      <c r="E594" t="s">
        <v>11</v>
      </c>
      <c r="F594" t="s">
        <v>12</v>
      </c>
      <c r="G594" t="s">
        <v>31</v>
      </c>
      <c r="H594">
        <v>22704.9</v>
      </c>
      <c r="I594">
        <v>0</v>
      </c>
      <c r="J594" t="str">
        <f t="shared" si="45"/>
        <v>High</v>
      </c>
      <c r="K594" t="str">
        <f t="shared" si="46"/>
        <v>Normal</v>
      </c>
      <c r="L594">
        <f t="shared" si="47"/>
        <v>1</v>
      </c>
      <c r="M594">
        <f t="shared" si="48"/>
        <v>1</v>
      </c>
      <c r="N594" s="6">
        <f t="shared" si="49"/>
        <v>45674</v>
      </c>
    </row>
    <row r="595" spans="1:14" x14ac:dyDescent="0.3">
      <c r="A595">
        <v>386</v>
      </c>
      <c r="B595">
        <v>10086</v>
      </c>
      <c r="C595" t="s">
        <v>409</v>
      </c>
      <c r="D595" t="s">
        <v>20</v>
      </c>
      <c r="E595" t="s">
        <v>11</v>
      </c>
      <c r="F595" t="s">
        <v>12</v>
      </c>
      <c r="G595" t="s">
        <v>31</v>
      </c>
      <c r="H595">
        <v>89580.23</v>
      </c>
      <c r="I595">
        <v>1</v>
      </c>
      <c r="J595" t="str">
        <f t="shared" si="45"/>
        <v>High</v>
      </c>
      <c r="K595" t="str">
        <f t="shared" si="46"/>
        <v>High Risk</v>
      </c>
      <c r="L595">
        <f t="shared" si="47"/>
        <v>1</v>
      </c>
      <c r="M595">
        <f t="shared" si="48"/>
        <v>1</v>
      </c>
      <c r="N595" s="6">
        <f t="shared" si="49"/>
        <v>45674</v>
      </c>
    </row>
    <row r="596" spans="1:14" x14ac:dyDescent="0.3">
      <c r="A596">
        <v>387</v>
      </c>
      <c r="B596">
        <v>10032</v>
      </c>
      <c r="C596" t="s">
        <v>410</v>
      </c>
      <c r="D596" t="s">
        <v>15</v>
      </c>
      <c r="E596" t="s">
        <v>16</v>
      </c>
      <c r="F596" t="s">
        <v>17</v>
      </c>
      <c r="G596" t="s">
        <v>31</v>
      </c>
      <c r="H596">
        <v>78371.66</v>
      </c>
      <c r="I596">
        <v>0</v>
      </c>
      <c r="J596" t="str">
        <f t="shared" si="45"/>
        <v>High</v>
      </c>
      <c r="K596" t="str">
        <f t="shared" si="46"/>
        <v>Normal</v>
      </c>
      <c r="L596">
        <f t="shared" si="47"/>
        <v>1</v>
      </c>
      <c r="M596">
        <f t="shared" si="48"/>
        <v>1</v>
      </c>
      <c r="N596" s="6">
        <f t="shared" si="49"/>
        <v>45674</v>
      </c>
    </row>
    <row r="597" spans="1:14" x14ac:dyDescent="0.3">
      <c r="A597">
        <v>388</v>
      </c>
      <c r="B597">
        <v>10066</v>
      </c>
      <c r="C597" t="s">
        <v>411</v>
      </c>
      <c r="D597" t="s">
        <v>23</v>
      </c>
      <c r="E597" t="s">
        <v>24</v>
      </c>
      <c r="F597" t="s">
        <v>12</v>
      </c>
      <c r="G597" t="s">
        <v>13</v>
      </c>
      <c r="H597">
        <v>70000.55</v>
      </c>
      <c r="I597">
        <v>0</v>
      </c>
      <c r="J597" t="str">
        <f t="shared" si="45"/>
        <v>High</v>
      </c>
      <c r="K597" t="str">
        <f t="shared" si="46"/>
        <v>Normal</v>
      </c>
      <c r="L597">
        <f t="shared" si="47"/>
        <v>1</v>
      </c>
      <c r="M597">
        <f t="shared" si="48"/>
        <v>1</v>
      </c>
      <c r="N597" s="6">
        <f t="shared" si="49"/>
        <v>45674</v>
      </c>
    </row>
    <row r="598" spans="1:14" x14ac:dyDescent="0.3">
      <c r="A598">
        <v>389</v>
      </c>
      <c r="B598">
        <v>10017</v>
      </c>
      <c r="C598" t="s">
        <v>412</v>
      </c>
      <c r="D598" t="s">
        <v>23</v>
      </c>
      <c r="E598" t="s">
        <v>24</v>
      </c>
      <c r="F598" t="s">
        <v>12</v>
      </c>
      <c r="G598" t="s">
        <v>31</v>
      </c>
      <c r="H598">
        <v>61732.71</v>
      </c>
      <c r="I598">
        <v>0</v>
      </c>
      <c r="J598" t="str">
        <f t="shared" si="45"/>
        <v>High</v>
      </c>
      <c r="K598" t="str">
        <f t="shared" si="46"/>
        <v>Normal</v>
      </c>
      <c r="L598">
        <f t="shared" si="47"/>
        <v>1</v>
      </c>
      <c r="M598">
        <f t="shared" si="48"/>
        <v>1</v>
      </c>
      <c r="N598" s="6">
        <f t="shared" si="49"/>
        <v>45674</v>
      </c>
    </row>
    <row r="599" spans="1:14" x14ac:dyDescent="0.3">
      <c r="A599">
        <v>390</v>
      </c>
      <c r="B599">
        <v>10024</v>
      </c>
      <c r="C599" t="s">
        <v>413</v>
      </c>
      <c r="D599" t="s">
        <v>10</v>
      </c>
      <c r="E599" t="s">
        <v>11</v>
      </c>
      <c r="F599" t="s">
        <v>12</v>
      </c>
      <c r="G599" t="s">
        <v>21</v>
      </c>
      <c r="H599">
        <v>86360.23</v>
      </c>
      <c r="I599">
        <v>1</v>
      </c>
      <c r="J599" t="str">
        <f t="shared" si="45"/>
        <v>High</v>
      </c>
      <c r="K599" t="str">
        <f t="shared" si="46"/>
        <v>High Risk</v>
      </c>
      <c r="L599">
        <f t="shared" si="47"/>
        <v>1</v>
      </c>
      <c r="M599">
        <f t="shared" si="48"/>
        <v>1</v>
      </c>
      <c r="N599" s="6">
        <f t="shared" si="49"/>
        <v>45674</v>
      </c>
    </row>
    <row r="600" spans="1:14" x14ac:dyDescent="0.3">
      <c r="A600">
        <v>391</v>
      </c>
      <c r="B600">
        <v>10094</v>
      </c>
      <c r="C600" t="s">
        <v>414</v>
      </c>
      <c r="D600" t="s">
        <v>29</v>
      </c>
      <c r="E600" t="s">
        <v>16</v>
      </c>
      <c r="F600" t="s">
        <v>17</v>
      </c>
      <c r="G600" t="s">
        <v>18</v>
      </c>
      <c r="H600">
        <v>22383.9</v>
      </c>
      <c r="I600">
        <v>0</v>
      </c>
      <c r="J600" t="str">
        <f t="shared" si="45"/>
        <v>High</v>
      </c>
      <c r="K600" t="str">
        <f t="shared" si="46"/>
        <v>Normal</v>
      </c>
      <c r="L600">
        <f t="shared" si="47"/>
        <v>1</v>
      </c>
      <c r="M600">
        <f t="shared" si="48"/>
        <v>1</v>
      </c>
      <c r="N600" s="6">
        <f t="shared" si="49"/>
        <v>45674</v>
      </c>
    </row>
    <row r="601" spans="1:14" x14ac:dyDescent="0.3">
      <c r="A601">
        <v>392</v>
      </c>
      <c r="B601">
        <v>10053</v>
      </c>
      <c r="C601" t="s">
        <v>415</v>
      </c>
      <c r="D601" t="s">
        <v>15</v>
      </c>
      <c r="E601" t="s">
        <v>24</v>
      </c>
      <c r="F601" t="s">
        <v>17</v>
      </c>
      <c r="G601" t="s">
        <v>18</v>
      </c>
      <c r="H601">
        <v>87323.57</v>
      </c>
      <c r="I601">
        <v>0</v>
      </c>
      <c r="J601" t="str">
        <f t="shared" si="45"/>
        <v>High</v>
      </c>
      <c r="K601" t="str">
        <f t="shared" si="46"/>
        <v>Normal</v>
      </c>
      <c r="L601">
        <f t="shared" si="47"/>
        <v>1</v>
      </c>
      <c r="M601">
        <f t="shared" si="48"/>
        <v>1</v>
      </c>
      <c r="N601" s="6">
        <f t="shared" si="49"/>
        <v>45674</v>
      </c>
    </row>
    <row r="602" spans="1:14" x14ac:dyDescent="0.3">
      <c r="A602">
        <v>393</v>
      </c>
      <c r="B602">
        <v>10057</v>
      </c>
      <c r="C602" t="s">
        <v>416</v>
      </c>
      <c r="D602" t="s">
        <v>10</v>
      </c>
      <c r="E602" t="s">
        <v>11</v>
      </c>
      <c r="F602" t="s">
        <v>17</v>
      </c>
      <c r="G602" t="s">
        <v>25</v>
      </c>
      <c r="H602">
        <v>78970.28</v>
      </c>
      <c r="I602">
        <v>1</v>
      </c>
      <c r="J602" t="str">
        <f t="shared" si="45"/>
        <v>High</v>
      </c>
      <c r="K602" t="str">
        <f t="shared" si="46"/>
        <v>High Risk</v>
      </c>
      <c r="L602">
        <f t="shared" si="47"/>
        <v>1</v>
      </c>
      <c r="M602">
        <f t="shared" si="48"/>
        <v>1</v>
      </c>
      <c r="N602" s="6">
        <f t="shared" si="49"/>
        <v>45674</v>
      </c>
    </row>
    <row r="603" spans="1:14" x14ac:dyDescent="0.3">
      <c r="A603">
        <v>394</v>
      </c>
      <c r="B603">
        <v>10066</v>
      </c>
      <c r="C603" t="s">
        <v>417</v>
      </c>
      <c r="D603" t="s">
        <v>20</v>
      </c>
      <c r="E603" t="s">
        <v>16</v>
      </c>
      <c r="F603" t="s">
        <v>12</v>
      </c>
      <c r="G603" t="s">
        <v>25</v>
      </c>
      <c r="H603">
        <v>74841.27</v>
      </c>
      <c r="I603">
        <v>0</v>
      </c>
      <c r="J603" t="str">
        <f t="shared" si="45"/>
        <v>High</v>
      </c>
      <c r="K603" t="str">
        <f t="shared" si="46"/>
        <v>Normal</v>
      </c>
      <c r="L603">
        <f t="shared" si="47"/>
        <v>1</v>
      </c>
      <c r="M603">
        <f t="shared" si="48"/>
        <v>1</v>
      </c>
      <c r="N603" s="6">
        <f t="shared" si="49"/>
        <v>45674</v>
      </c>
    </row>
    <row r="604" spans="1:14" x14ac:dyDescent="0.3">
      <c r="A604">
        <v>395</v>
      </c>
      <c r="B604">
        <v>10045</v>
      </c>
      <c r="C604" t="s">
        <v>418</v>
      </c>
      <c r="D604" t="s">
        <v>20</v>
      </c>
      <c r="E604" t="s">
        <v>24</v>
      </c>
      <c r="F604" t="s">
        <v>17</v>
      </c>
      <c r="G604" t="s">
        <v>18</v>
      </c>
      <c r="H604">
        <v>56169.440000000002</v>
      </c>
      <c r="I604">
        <v>0</v>
      </c>
      <c r="J604" t="str">
        <f t="shared" si="45"/>
        <v>High</v>
      </c>
      <c r="K604" t="str">
        <f t="shared" si="46"/>
        <v>Normal</v>
      </c>
      <c r="L604">
        <f t="shared" si="47"/>
        <v>1</v>
      </c>
      <c r="M604">
        <f t="shared" si="48"/>
        <v>1</v>
      </c>
      <c r="N604" s="6">
        <f t="shared" si="49"/>
        <v>45674</v>
      </c>
    </row>
    <row r="605" spans="1:14" x14ac:dyDescent="0.3">
      <c r="A605">
        <v>396</v>
      </c>
      <c r="B605">
        <v>10023</v>
      </c>
      <c r="C605" t="s">
        <v>419</v>
      </c>
      <c r="D605" t="s">
        <v>23</v>
      </c>
      <c r="E605" t="s">
        <v>24</v>
      </c>
      <c r="F605" t="s">
        <v>12</v>
      </c>
      <c r="G605" t="s">
        <v>21</v>
      </c>
      <c r="H605">
        <v>24699.79</v>
      </c>
      <c r="I605">
        <v>0</v>
      </c>
      <c r="J605" t="str">
        <f t="shared" si="45"/>
        <v>High</v>
      </c>
      <c r="K605" t="str">
        <f t="shared" si="46"/>
        <v>Normal</v>
      </c>
      <c r="L605">
        <f t="shared" si="47"/>
        <v>1</v>
      </c>
      <c r="M605">
        <f t="shared" si="48"/>
        <v>1</v>
      </c>
      <c r="N605" s="6">
        <f t="shared" si="49"/>
        <v>45674</v>
      </c>
    </row>
    <row r="606" spans="1:14" x14ac:dyDescent="0.3">
      <c r="A606">
        <v>397</v>
      </c>
      <c r="B606">
        <v>10031</v>
      </c>
      <c r="C606" t="s">
        <v>420</v>
      </c>
      <c r="D606" t="s">
        <v>23</v>
      </c>
      <c r="E606" t="s">
        <v>16</v>
      </c>
      <c r="F606" t="s">
        <v>17</v>
      </c>
      <c r="G606" t="s">
        <v>13</v>
      </c>
      <c r="H606">
        <v>42412.44</v>
      </c>
      <c r="I606">
        <v>0</v>
      </c>
      <c r="J606" t="str">
        <f t="shared" si="45"/>
        <v>High</v>
      </c>
      <c r="K606" t="str">
        <f t="shared" si="46"/>
        <v>Normal</v>
      </c>
      <c r="L606">
        <f t="shared" si="47"/>
        <v>1</v>
      </c>
      <c r="M606">
        <f t="shared" si="48"/>
        <v>1</v>
      </c>
      <c r="N606" s="6">
        <f t="shared" si="49"/>
        <v>45674</v>
      </c>
    </row>
    <row r="607" spans="1:14" x14ac:dyDescent="0.3">
      <c r="A607">
        <v>398</v>
      </c>
      <c r="B607">
        <v>10046</v>
      </c>
      <c r="C607" t="s">
        <v>421</v>
      </c>
      <c r="D607" t="s">
        <v>20</v>
      </c>
      <c r="E607" t="s">
        <v>16</v>
      </c>
      <c r="F607" t="s">
        <v>17</v>
      </c>
      <c r="G607" t="s">
        <v>13</v>
      </c>
      <c r="H607">
        <v>79377.710000000006</v>
      </c>
      <c r="I607">
        <v>0</v>
      </c>
      <c r="J607" t="str">
        <f t="shared" si="45"/>
        <v>High</v>
      </c>
      <c r="K607" t="str">
        <f t="shared" si="46"/>
        <v>Normal</v>
      </c>
      <c r="L607">
        <f t="shared" si="47"/>
        <v>1</v>
      </c>
      <c r="M607">
        <f t="shared" si="48"/>
        <v>1</v>
      </c>
      <c r="N607" s="6">
        <f t="shared" si="49"/>
        <v>45674</v>
      </c>
    </row>
    <row r="608" spans="1:14" x14ac:dyDescent="0.3">
      <c r="A608">
        <v>399</v>
      </c>
      <c r="B608">
        <v>10085</v>
      </c>
      <c r="C608" t="s">
        <v>422</v>
      </c>
      <c r="D608" t="s">
        <v>23</v>
      </c>
      <c r="E608" t="s">
        <v>16</v>
      </c>
      <c r="F608" t="s">
        <v>12</v>
      </c>
      <c r="G608" t="s">
        <v>21</v>
      </c>
      <c r="H608">
        <v>3274.67</v>
      </c>
      <c r="I608">
        <v>0</v>
      </c>
      <c r="J608" t="str">
        <f t="shared" si="45"/>
        <v>High</v>
      </c>
      <c r="K608" t="str">
        <f t="shared" si="46"/>
        <v>Normal</v>
      </c>
      <c r="L608">
        <f t="shared" si="47"/>
        <v>1</v>
      </c>
      <c r="M608">
        <f t="shared" si="48"/>
        <v>1</v>
      </c>
      <c r="N608" s="6">
        <f t="shared" si="49"/>
        <v>45674</v>
      </c>
    </row>
    <row r="609" spans="1:14" x14ac:dyDescent="0.3">
      <c r="A609">
        <v>400</v>
      </c>
      <c r="B609">
        <v>10022</v>
      </c>
      <c r="C609" t="s">
        <v>423</v>
      </c>
      <c r="D609" t="s">
        <v>15</v>
      </c>
      <c r="E609" t="s">
        <v>16</v>
      </c>
      <c r="F609" t="s">
        <v>17</v>
      </c>
      <c r="G609" t="s">
        <v>13</v>
      </c>
      <c r="H609">
        <v>78226.87</v>
      </c>
      <c r="I609">
        <v>0</v>
      </c>
      <c r="J609" t="str">
        <f t="shared" si="45"/>
        <v>High</v>
      </c>
      <c r="K609" t="str">
        <f t="shared" si="46"/>
        <v>Normal</v>
      </c>
      <c r="L609">
        <f t="shared" si="47"/>
        <v>1</v>
      </c>
      <c r="M609">
        <f t="shared" si="48"/>
        <v>1</v>
      </c>
      <c r="N609" s="6">
        <f t="shared" si="49"/>
        <v>45674</v>
      </c>
    </row>
    <row r="610" spans="1:14" x14ac:dyDescent="0.3">
      <c r="A610">
        <v>401</v>
      </c>
      <c r="B610">
        <v>10065</v>
      </c>
      <c r="C610" t="s">
        <v>424</v>
      </c>
      <c r="D610" t="s">
        <v>23</v>
      </c>
      <c r="E610" t="s">
        <v>11</v>
      </c>
      <c r="F610" t="s">
        <v>12</v>
      </c>
      <c r="G610" t="s">
        <v>31</v>
      </c>
      <c r="H610">
        <v>24083.07</v>
      </c>
      <c r="I610">
        <v>0</v>
      </c>
      <c r="J610" t="str">
        <f t="shared" si="45"/>
        <v>High</v>
      </c>
      <c r="K610" t="str">
        <f t="shared" si="46"/>
        <v>Normal</v>
      </c>
      <c r="L610">
        <f t="shared" si="47"/>
        <v>1</v>
      </c>
      <c r="M610">
        <f t="shared" si="48"/>
        <v>1</v>
      </c>
      <c r="N610" s="6">
        <f t="shared" si="49"/>
        <v>45674</v>
      </c>
    </row>
    <row r="611" spans="1:14" x14ac:dyDescent="0.3">
      <c r="A611">
        <v>402</v>
      </c>
      <c r="B611">
        <v>10026</v>
      </c>
      <c r="C611" t="s">
        <v>425</v>
      </c>
      <c r="D611" t="s">
        <v>29</v>
      </c>
      <c r="E611" t="s">
        <v>16</v>
      </c>
      <c r="F611" t="s">
        <v>12</v>
      </c>
      <c r="G611" t="s">
        <v>18</v>
      </c>
      <c r="H611">
        <v>14516.49</v>
      </c>
      <c r="I611">
        <v>0</v>
      </c>
      <c r="J611" t="str">
        <f t="shared" si="45"/>
        <v>High</v>
      </c>
      <c r="K611" t="str">
        <f t="shared" si="46"/>
        <v>Normal</v>
      </c>
      <c r="L611">
        <f t="shared" si="47"/>
        <v>1</v>
      </c>
      <c r="M611">
        <f t="shared" si="48"/>
        <v>1</v>
      </c>
      <c r="N611" s="6">
        <f t="shared" si="49"/>
        <v>45674</v>
      </c>
    </row>
    <row r="612" spans="1:14" x14ac:dyDescent="0.3">
      <c r="A612">
        <v>403</v>
      </c>
      <c r="B612">
        <v>10001</v>
      </c>
      <c r="C612" t="s">
        <v>426</v>
      </c>
      <c r="D612" t="s">
        <v>23</v>
      </c>
      <c r="E612" t="s">
        <v>24</v>
      </c>
      <c r="F612" t="s">
        <v>17</v>
      </c>
      <c r="G612" t="s">
        <v>18</v>
      </c>
      <c r="H612">
        <v>11658.56</v>
      </c>
      <c r="I612">
        <v>0</v>
      </c>
      <c r="J612" t="str">
        <f t="shared" si="45"/>
        <v>High</v>
      </c>
      <c r="K612" t="str">
        <f t="shared" si="46"/>
        <v>Normal</v>
      </c>
      <c r="L612">
        <f t="shared" si="47"/>
        <v>1</v>
      </c>
      <c r="M612">
        <f t="shared" si="48"/>
        <v>1</v>
      </c>
      <c r="N612" s="6">
        <f t="shared" si="49"/>
        <v>45674</v>
      </c>
    </row>
    <row r="613" spans="1:14" x14ac:dyDescent="0.3">
      <c r="A613">
        <v>404</v>
      </c>
      <c r="B613">
        <v>10089</v>
      </c>
      <c r="C613" t="s">
        <v>427</v>
      </c>
      <c r="D613" t="s">
        <v>10</v>
      </c>
      <c r="E613" t="s">
        <v>24</v>
      </c>
      <c r="F613" t="s">
        <v>12</v>
      </c>
      <c r="G613" t="s">
        <v>21</v>
      </c>
      <c r="H613">
        <v>2822.28</v>
      </c>
      <c r="I613">
        <v>0</v>
      </c>
      <c r="J613" t="str">
        <f t="shared" si="45"/>
        <v>High</v>
      </c>
      <c r="K613" t="str">
        <f t="shared" si="46"/>
        <v>Normal</v>
      </c>
      <c r="L613">
        <f t="shared" si="47"/>
        <v>1</v>
      </c>
      <c r="M613">
        <f t="shared" si="48"/>
        <v>1</v>
      </c>
      <c r="N613" s="6">
        <f t="shared" si="49"/>
        <v>45674</v>
      </c>
    </row>
    <row r="614" spans="1:14" x14ac:dyDescent="0.3">
      <c r="A614">
        <v>405</v>
      </c>
      <c r="B614">
        <v>10016</v>
      </c>
      <c r="C614" t="s">
        <v>428</v>
      </c>
      <c r="D614" t="s">
        <v>15</v>
      </c>
      <c r="E614" t="s">
        <v>11</v>
      </c>
      <c r="F614" t="s">
        <v>17</v>
      </c>
      <c r="G614" t="s">
        <v>13</v>
      </c>
      <c r="H614">
        <v>52406.29</v>
      </c>
      <c r="I614">
        <v>1</v>
      </c>
      <c r="J614" t="str">
        <f t="shared" si="45"/>
        <v>High</v>
      </c>
      <c r="K614" t="str">
        <f t="shared" si="46"/>
        <v>High Risk</v>
      </c>
      <c r="L614">
        <f t="shared" si="47"/>
        <v>1</v>
      </c>
      <c r="M614">
        <f t="shared" si="48"/>
        <v>1</v>
      </c>
      <c r="N614" s="6">
        <f t="shared" si="49"/>
        <v>45674</v>
      </c>
    </row>
    <row r="615" spans="1:14" x14ac:dyDescent="0.3">
      <c r="A615">
        <v>406</v>
      </c>
      <c r="B615">
        <v>10032</v>
      </c>
      <c r="C615" t="s">
        <v>429</v>
      </c>
      <c r="D615" t="s">
        <v>10</v>
      </c>
      <c r="E615" t="s">
        <v>24</v>
      </c>
      <c r="F615" t="s">
        <v>17</v>
      </c>
      <c r="G615" t="s">
        <v>25</v>
      </c>
      <c r="H615">
        <v>21904.16</v>
      </c>
      <c r="I615">
        <v>0</v>
      </c>
      <c r="J615" t="str">
        <f t="shared" si="45"/>
        <v>High</v>
      </c>
      <c r="K615" t="str">
        <f t="shared" si="46"/>
        <v>Normal</v>
      </c>
      <c r="L615">
        <f t="shared" si="47"/>
        <v>1</v>
      </c>
      <c r="M615">
        <f t="shared" si="48"/>
        <v>1</v>
      </c>
      <c r="N615" s="6">
        <f t="shared" si="49"/>
        <v>45674</v>
      </c>
    </row>
    <row r="616" spans="1:14" x14ac:dyDescent="0.3">
      <c r="A616">
        <v>407</v>
      </c>
      <c r="B616">
        <v>10008</v>
      </c>
      <c r="C616" t="s">
        <v>430</v>
      </c>
      <c r="D616" t="s">
        <v>10</v>
      </c>
      <c r="E616" t="s">
        <v>24</v>
      </c>
      <c r="F616" t="s">
        <v>12</v>
      </c>
      <c r="G616" t="s">
        <v>25</v>
      </c>
      <c r="H616">
        <v>98944.23</v>
      </c>
      <c r="I616">
        <v>0</v>
      </c>
      <c r="J616" t="str">
        <f t="shared" si="45"/>
        <v>High</v>
      </c>
      <c r="K616" t="str">
        <f t="shared" si="46"/>
        <v>Normal</v>
      </c>
      <c r="L616">
        <f t="shared" si="47"/>
        <v>1</v>
      </c>
      <c r="M616">
        <f t="shared" si="48"/>
        <v>1</v>
      </c>
      <c r="N616" s="6">
        <f t="shared" si="49"/>
        <v>45674</v>
      </c>
    </row>
    <row r="617" spans="1:14" x14ac:dyDescent="0.3">
      <c r="A617">
        <v>408</v>
      </c>
      <c r="B617">
        <v>10042</v>
      </c>
      <c r="C617" t="s">
        <v>431</v>
      </c>
      <c r="D617" t="s">
        <v>29</v>
      </c>
      <c r="E617" t="s">
        <v>16</v>
      </c>
      <c r="F617" t="s">
        <v>17</v>
      </c>
      <c r="G617" t="s">
        <v>13</v>
      </c>
      <c r="H617">
        <v>57486.23</v>
      </c>
      <c r="I617">
        <v>0</v>
      </c>
      <c r="J617" t="str">
        <f t="shared" si="45"/>
        <v>High</v>
      </c>
      <c r="K617" t="str">
        <f t="shared" si="46"/>
        <v>Normal</v>
      </c>
      <c r="L617">
        <f t="shared" si="47"/>
        <v>1</v>
      </c>
      <c r="M617">
        <f t="shared" si="48"/>
        <v>1</v>
      </c>
      <c r="N617" s="6">
        <f t="shared" si="49"/>
        <v>45674</v>
      </c>
    </row>
    <row r="618" spans="1:14" x14ac:dyDescent="0.3">
      <c r="A618">
        <v>361</v>
      </c>
      <c r="B618">
        <v>10018</v>
      </c>
      <c r="C618" t="s">
        <v>384</v>
      </c>
      <c r="D618" t="s">
        <v>10</v>
      </c>
      <c r="E618" t="s">
        <v>24</v>
      </c>
      <c r="F618" t="s">
        <v>12</v>
      </c>
      <c r="G618" t="s">
        <v>25</v>
      </c>
      <c r="H618">
        <v>73414.92</v>
      </c>
      <c r="I618">
        <v>0</v>
      </c>
      <c r="J618" t="str">
        <f t="shared" si="45"/>
        <v>High</v>
      </c>
      <c r="K618" t="str">
        <f t="shared" si="46"/>
        <v>Normal</v>
      </c>
      <c r="L618">
        <f t="shared" si="47"/>
        <v>1</v>
      </c>
      <c r="M618">
        <f t="shared" si="48"/>
        <v>1</v>
      </c>
      <c r="N618" s="6">
        <f t="shared" si="49"/>
        <v>45673</v>
      </c>
    </row>
    <row r="619" spans="1:14" x14ac:dyDescent="0.3">
      <c r="A619">
        <v>362</v>
      </c>
      <c r="B619">
        <v>10003</v>
      </c>
      <c r="C619" t="s">
        <v>385</v>
      </c>
      <c r="D619" t="s">
        <v>20</v>
      </c>
      <c r="E619" t="s">
        <v>11</v>
      </c>
      <c r="F619" t="s">
        <v>17</v>
      </c>
      <c r="G619" t="s">
        <v>31</v>
      </c>
      <c r="H619">
        <v>63260.59</v>
      </c>
      <c r="I619">
        <v>1</v>
      </c>
      <c r="J619" t="str">
        <f t="shared" si="45"/>
        <v>High</v>
      </c>
      <c r="K619" t="str">
        <f t="shared" si="46"/>
        <v>High Risk</v>
      </c>
      <c r="L619">
        <f t="shared" si="47"/>
        <v>1</v>
      </c>
      <c r="M619">
        <f t="shared" si="48"/>
        <v>1</v>
      </c>
      <c r="N619" s="6">
        <f t="shared" si="49"/>
        <v>45673</v>
      </c>
    </row>
    <row r="620" spans="1:14" x14ac:dyDescent="0.3">
      <c r="A620">
        <v>363</v>
      </c>
      <c r="B620">
        <v>10034</v>
      </c>
      <c r="C620" t="s">
        <v>386</v>
      </c>
      <c r="D620" t="s">
        <v>29</v>
      </c>
      <c r="E620" t="s">
        <v>11</v>
      </c>
      <c r="F620" t="s">
        <v>17</v>
      </c>
      <c r="G620" t="s">
        <v>13</v>
      </c>
      <c r="H620">
        <v>58402.14</v>
      </c>
      <c r="I620">
        <v>1</v>
      </c>
      <c r="J620" t="str">
        <f t="shared" si="45"/>
        <v>High</v>
      </c>
      <c r="K620" t="str">
        <f t="shared" si="46"/>
        <v>High Risk</v>
      </c>
      <c r="L620">
        <f t="shared" si="47"/>
        <v>1</v>
      </c>
      <c r="M620">
        <f t="shared" si="48"/>
        <v>1</v>
      </c>
      <c r="N620" s="6">
        <f t="shared" si="49"/>
        <v>45673</v>
      </c>
    </row>
    <row r="621" spans="1:14" x14ac:dyDescent="0.3">
      <c r="A621">
        <v>364</v>
      </c>
      <c r="B621">
        <v>10063</v>
      </c>
      <c r="C621" t="s">
        <v>387</v>
      </c>
      <c r="D621" t="s">
        <v>15</v>
      </c>
      <c r="E621" t="s">
        <v>24</v>
      </c>
      <c r="F621" t="s">
        <v>17</v>
      </c>
      <c r="G621" t="s">
        <v>25</v>
      </c>
      <c r="H621">
        <v>39073.01</v>
      </c>
      <c r="I621">
        <v>0</v>
      </c>
      <c r="J621" t="str">
        <f t="shared" si="45"/>
        <v>High</v>
      </c>
      <c r="K621" t="str">
        <f t="shared" si="46"/>
        <v>Normal</v>
      </c>
      <c r="L621">
        <f t="shared" si="47"/>
        <v>1</v>
      </c>
      <c r="M621">
        <f t="shared" si="48"/>
        <v>1</v>
      </c>
      <c r="N621" s="6">
        <f t="shared" si="49"/>
        <v>45673</v>
      </c>
    </row>
    <row r="622" spans="1:14" x14ac:dyDescent="0.3">
      <c r="A622">
        <v>365</v>
      </c>
      <c r="B622">
        <v>10048</v>
      </c>
      <c r="C622" t="s">
        <v>388</v>
      </c>
      <c r="D622" t="s">
        <v>29</v>
      </c>
      <c r="E622" t="s">
        <v>11</v>
      </c>
      <c r="F622" t="s">
        <v>17</v>
      </c>
      <c r="G622" t="s">
        <v>21</v>
      </c>
      <c r="H622">
        <v>35577.65</v>
      </c>
      <c r="I622">
        <v>0</v>
      </c>
      <c r="J622" t="str">
        <f t="shared" si="45"/>
        <v>High</v>
      </c>
      <c r="K622" t="str">
        <f t="shared" si="46"/>
        <v>Normal</v>
      </c>
      <c r="L622">
        <f t="shared" si="47"/>
        <v>1</v>
      </c>
      <c r="M622">
        <f t="shared" si="48"/>
        <v>1</v>
      </c>
      <c r="N622" s="6">
        <f t="shared" si="49"/>
        <v>45673</v>
      </c>
    </row>
    <row r="623" spans="1:14" x14ac:dyDescent="0.3">
      <c r="A623">
        <v>366</v>
      </c>
      <c r="B623">
        <v>10016</v>
      </c>
      <c r="C623" t="s">
        <v>389</v>
      </c>
      <c r="D623" t="s">
        <v>10</v>
      </c>
      <c r="E623" t="s">
        <v>16</v>
      </c>
      <c r="F623" t="s">
        <v>12</v>
      </c>
      <c r="G623" t="s">
        <v>21</v>
      </c>
      <c r="H623">
        <v>4620.3900000000003</v>
      </c>
      <c r="I623">
        <v>0</v>
      </c>
      <c r="J623" t="str">
        <f t="shared" si="45"/>
        <v>High</v>
      </c>
      <c r="K623" t="str">
        <f t="shared" si="46"/>
        <v>Normal</v>
      </c>
      <c r="L623">
        <f t="shared" si="47"/>
        <v>1</v>
      </c>
      <c r="M623">
        <f t="shared" si="48"/>
        <v>1</v>
      </c>
      <c r="N623" s="6">
        <f t="shared" si="49"/>
        <v>45673</v>
      </c>
    </row>
    <row r="624" spans="1:14" x14ac:dyDescent="0.3">
      <c r="A624">
        <v>367</v>
      </c>
      <c r="B624">
        <v>10043</v>
      </c>
      <c r="C624" t="s">
        <v>390</v>
      </c>
      <c r="D624" t="s">
        <v>29</v>
      </c>
      <c r="E624" t="s">
        <v>24</v>
      </c>
      <c r="F624" t="s">
        <v>17</v>
      </c>
      <c r="G624" t="s">
        <v>18</v>
      </c>
      <c r="H624">
        <v>21869.08</v>
      </c>
      <c r="I624">
        <v>0</v>
      </c>
      <c r="J624" t="str">
        <f t="shared" si="45"/>
        <v>High</v>
      </c>
      <c r="K624" t="str">
        <f t="shared" si="46"/>
        <v>Normal</v>
      </c>
      <c r="L624">
        <f t="shared" si="47"/>
        <v>1</v>
      </c>
      <c r="M624">
        <f t="shared" si="48"/>
        <v>1</v>
      </c>
      <c r="N624" s="6">
        <f t="shared" si="49"/>
        <v>45673</v>
      </c>
    </row>
    <row r="625" spans="1:14" x14ac:dyDescent="0.3">
      <c r="A625">
        <v>368</v>
      </c>
      <c r="B625">
        <v>10091</v>
      </c>
      <c r="C625" t="s">
        <v>391</v>
      </c>
      <c r="D625" t="s">
        <v>15</v>
      </c>
      <c r="E625" t="s">
        <v>11</v>
      </c>
      <c r="F625" t="s">
        <v>17</v>
      </c>
      <c r="G625" t="s">
        <v>31</v>
      </c>
      <c r="H625">
        <v>1616.17</v>
      </c>
      <c r="I625">
        <v>0</v>
      </c>
      <c r="J625" t="str">
        <f t="shared" si="45"/>
        <v>High</v>
      </c>
      <c r="K625" t="str">
        <f t="shared" si="46"/>
        <v>Normal</v>
      </c>
      <c r="L625">
        <f t="shared" si="47"/>
        <v>1</v>
      </c>
      <c r="M625">
        <f t="shared" si="48"/>
        <v>1</v>
      </c>
      <c r="N625" s="6">
        <f t="shared" si="49"/>
        <v>45673</v>
      </c>
    </row>
    <row r="626" spans="1:14" x14ac:dyDescent="0.3">
      <c r="A626">
        <v>369</v>
      </c>
      <c r="B626">
        <v>10029</v>
      </c>
      <c r="C626" t="s">
        <v>392</v>
      </c>
      <c r="D626" t="s">
        <v>10</v>
      </c>
      <c r="E626" t="s">
        <v>24</v>
      </c>
      <c r="F626" t="s">
        <v>17</v>
      </c>
      <c r="G626" t="s">
        <v>18</v>
      </c>
      <c r="H626">
        <v>58183.57</v>
      </c>
      <c r="I626">
        <v>0</v>
      </c>
      <c r="J626" t="str">
        <f t="shared" si="45"/>
        <v>High</v>
      </c>
      <c r="K626" t="str">
        <f t="shared" si="46"/>
        <v>Normal</v>
      </c>
      <c r="L626">
        <f t="shared" si="47"/>
        <v>1</v>
      </c>
      <c r="M626">
        <f t="shared" si="48"/>
        <v>1</v>
      </c>
      <c r="N626" s="6">
        <f t="shared" si="49"/>
        <v>45673</v>
      </c>
    </row>
    <row r="627" spans="1:14" x14ac:dyDescent="0.3">
      <c r="A627">
        <v>370</v>
      </c>
      <c r="B627">
        <v>10092</v>
      </c>
      <c r="C627" t="s">
        <v>393</v>
      </c>
      <c r="D627" t="s">
        <v>29</v>
      </c>
      <c r="E627" t="s">
        <v>24</v>
      </c>
      <c r="F627" t="s">
        <v>17</v>
      </c>
      <c r="G627" t="s">
        <v>18</v>
      </c>
      <c r="H627">
        <v>10674.74</v>
      </c>
      <c r="I627">
        <v>0</v>
      </c>
      <c r="J627" t="str">
        <f t="shared" si="45"/>
        <v>High</v>
      </c>
      <c r="K627" t="str">
        <f t="shared" si="46"/>
        <v>Normal</v>
      </c>
      <c r="L627">
        <f t="shared" si="47"/>
        <v>1</v>
      </c>
      <c r="M627">
        <f t="shared" si="48"/>
        <v>1</v>
      </c>
      <c r="N627" s="6">
        <f t="shared" si="49"/>
        <v>45673</v>
      </c>
    </row>
    <row r="628" spans="1:14" x14ac:dyDescent="0.3">
      <c r="A628">
        <v>371</v>
      </c>
      <c r="B628">
        <v>10045</v>
      </c>
      <c r="C628" t="s">
        <v>394</v>
      </c>
      <c r="D628" t="s">
        <v>20</v>
      </c>
      <c r="E628" t="s">
        <v>24</v>
      </c>
      <c r="F628" t="s">
        <v>17</v>
      </c>
      <c r="G628" t="s">
        <v>18</v>
      </c>
      <c r="H628">
        <v>87314.64</v>
      </c>
      <c r="I628">
        <v>0</v>
      </c>
      <c r="J628" t="str">
        <f t="shared" si="45"/>
        <v>High</v>
      </c>
      <c r="K628" t="str">
        <f t="shared" si="46"/>
        <v>Normal</v>
      </c>
      <c r="L628">
        <f t="shared" si="47"/>
        <v>1</v>
      </c>
      <c r="M628">
        <f t="shared" si="48"/>
        <v>1</v>
      </c>
      <c r="N628" s="6">
        <f t="shared" si="49"/>
        <v>45673</v>
      </c>
    </row>
    <row r="629" spans="1:14" x14ac:dyDescent="0.3">
      <c r="A629">
        <v>372</v>
      </c>
      <c r="B629">
        <v>10005</v>
      </c>
      <c r="C629" t="s">
        <v>395</v>
      </c>
      <c r="D629" t="s">
        <v>10</v>
      </c>
      <c r="E629" t="s">
        <v>11</v>
      </c>
      <c r="F629" t="s">
        <v>17</v>
      </c>
      <c r="G629" t="s">
        <v>21</v>
      </c>
      <c r="H629">
        <v>52361.99</v>
      </c>
      <c r="I629">
        <v>1</v>
      </c>
      <c r="J629" t="str">
        <f t="shared" si="45"/>
        <v>High</v>
      </c>
      <c r="K629" t="str">
        <f t="shared" si="46"/>
        <v>High Risk</v>
      </c>
      <c r="L629">
        <f t="shared" si="47"/>
        <v>1</v>
      </c>
      <c r="M629">
        <f t="shared" si="48"/>
        <v>1</v>
      </c>
      <c r="N629" s="6">
        <f t="shared" si="49"/>
        <v>45673</v>
      </c>
    </row>
    <row r="630" spans="1:14" x14ac:dyDescent="0.3">
      <c r="A630">
        <v>373</v>
      </c>
      <c r="B630">
        <v>10098</v>
      </c>
      <c r="C630" t="s">
        <v>396</v>
      </c>
      <c r="D630" t="s">
        <v>10</v>
      </c>
      <c r="E630" t="s">
        <v>16</v>
      </c>
      <c r="F630" t="s">
        <v>17</v>
      </c>
      <c r="G630" t="s">
        <v>21</v>
      </c>
      <c r="H630">
        <v>69999.02</v>
      </c>
      <c r="I630">
        <v>0</v>
      </c>
      <c r="J630" t="str">
        <f t="shared" si="45"/>
        <v>High</v>
      </c>
      <c r="K630" t="str">
        <f t="shared" si="46"/>
        <v>Normal</v>
      </c>
      <c r="L630">
        <f t="shared" si="47"/>
        <v>1</v>
      </c>
      <c r="M630">
        <f t="shared" si="48"/>
        <v>1</v>
      </c>
      <c r="N630" s="6">
        <f t="shared" si="49"/>
        <v>45673</v>
      </c>
    </row>
    <row r="631" spans="1:14" x14ac:dyDescent="0.3">
      <c r="A631">
        <v>374</v>
      </c>
      <c r="B631">
        <v>10036</v>
      </c>
      <c r="C631" t="s">
        <v>397</v>
      </c>
      <c r="D631" t="s">
        <v>20</v>
      </c>
      <c r="E631" t="s">
        <v>16</v>
      </c>
      <c r="F631" t="s">
        <v>17</v>
      </c>
      <c r="G631" t="s">
        <v>18</v>
      </c>
      <c r="H631">
        <v>41144.620000000003</v>
      </c>
      <c r="I631">
        <v>0</v>
      </c>
      <c r="J631" t="str">
        <f t="shared" si="45"/>
        <v>High</v>
      </c>
      <c r="K631" t="str">
        <f t="shared" si="46"/>
        <v>Normal</v>
      </c>
      <c r="L631">
        <f t="shared" si="47"/>
        <v>1</v>
      </c>
      <c r="M631">
        <f t="shared" si="48"/>
        <v>1</v>
      </c>
      <c r="N631" s="6">
        <f t="shared" si="49"/>
        <v>45673</v>
      </c>
    </row>
    <row r="632" spans="1:14" x14ac:dyDescent="0.3">
      <c r="A632">
        <v>375</v>
      </c>
      <c r="B632">
        <v>10023</v>
      </c>
      <c r="C632" t="s">
        <v>398</v>
      </c>
      <c r="D632" t="s">
        <v>23</v>
      </c>
      <c r="E632" t="s">
        <v>11</v>
      </c>
      <c r="F632" t="s">
        <v>12</v>
      </c>
      <c r="G632" t="s">
        <v>21</v>
      </c>
      <c r="H632">
        <v>56101.919999999998</v>
      </c>
      <c r="I632">
        <v>1</v>
      </c>
      <c r="J632" t="str">
        <f t="shared" si="45"/>
        <v>High</v>
      </c>
      <c r="K632" t="str">
        <f t="shared" si="46"/>
        <v>High Risk</v>
      </c>
      <c r="L632">
        <f t="shared" si="47"/>
        <v>1</v>
      </c>
      <c r="M632">
        <f t="shared" si="48"/>
        <v>1</v>
      </c>
      <c r="N632" s="6">
        <f t="shared" si="49"/>
        <v>45673</v>
      </c>
    </row>
    <row r="633" spans="1:14" x14ac:dyDescent="0.3">
      <c r="A633">
        <v>376</v>
      </c>
      <c r="B633">
        <v>10092</v>
      </c>
      <c r="C633" t="s">
        <v>399</v>
      </c>
      <c r="D633" t="s">
        <v>15</v>
      </c>
      <c r="E633" t="s">
        <v>24</v>
      </c>
      <c r="F633" t="s">
        <v>17</v>
      </c>
      <c r="G633" t="s">
        <v>31</v>
      </c>
      <c r="H633">
        <v>94271.65</v>
      </c>
      <c r="I633">
        <v>0</v>
      </c>
      <c r="J633" t="str">
        <f t="shared" si="45"/>
        <v>High</v>
      </c>
      <c r="K633" t="str">
        <f t="shared" si="46"/>
        <v>Normal</v>
      </c>
      <c r="L633">
        <f t="shared" si="47"/>
        <v>1</v>
      </c>
      <c r="M633">
        <f t="shared" si="48"/>
        <v>1</v>
      </c>
      <c r="N633" s="6">
        <f t="shared" si="49"/>
        <v>45673</v>
      </c>
    </row>
    <row r="634" spans="1:14" x14ac:dyDescent="0.3">
      <c r="A634">
        <v>377</v>
      </c>
      <c r="B634">
        <v>10045</v>
      </c>
      <c r="C634" t="s">
        <v>400</v>
      </c>
      <c r="D634" t="s">
        <v>23</v>
      </c>
      <c r="E634" t="s">
        <v>11</v>
      </c>
      <c r="F634" t="s">
        <v>12</v>
      </c>
      <c r="G634" t="s">
        <v>18</v>
      </c>
      <c r="H634">
        <v>8365.1299999999992</v>
      </c>
      <c r="I634">
        <v>0</v>
      </c>
      <c r="J634" t="str">
        <f t="shared" si="45"/>
        <v>High</v>
      </c>
      <c r="K634" t="str">
        <f t="shared" si="46"/>
        <v>Normal</v>
      </c>
      <c r="L634">
        <f t="shared" si="47"/>
        <v>1</v>
      </c>
      <c r="M634">
        <f t="shared" si="48"/>
        <v>1</v>
      </c>
      <c r="N634" s="6">
        <f t="shared" si="49"/>
        <v>45673</v>
      </c>
    </row>
    <row r="635" spans="1:14" x14ac:dyDescent="0.3">
      <c r="A635">
        <v>378</v>
      </c>
      <c r="B635">
        <v>10052</v>
      </c>
      <c r="C635" t="s">
        <v>401</v>
      </c>
      <c r="D635" t="s">
        <v>29</v>
      </c>
      <c r="E635" t="s">
        <v>11</v>
      </c>
      <c r="F635" t="s">
        <v>17</v>
      </c>
      <c r="G635" t="s">
        <v>21</v>
      </c>
      <c r="H635">
        <v>25468.38</v>
      </c>
      <c r="I635">
        <v>0</v>
      </c>
      <c r="J635" t="str">
        <f t="shared" si="45"/>
        <v>High</v>
      </c>
      <c r="K635" t="str">
        <f t="shared" si="46"/>
        <v>Normal</v>
      </c>
      <c r="L635">
        <f t="shared" si="47"/>
        <v>1</v>
      </c>
      <c r="M635">
        <f t="shared" si="48"/>
        <v>1</v>
      </c>
      <c r="N635" s="6">
        <f t="shared" si="49"/>
        <v>45673</v>
      </c>
    </row>
    <row r="636" spans="1:14" x14ac:dyDescent="0.3">
      <c r="A636">
        <v>379</v>
      </c>
      <c r="B636">
        <v>10094</v>
      </c>
      <c r="C636" t="s">
        <v>402</v>
      </c>
      <c r="D636" t="s">
        <v>20</v>
      </c>
      <c r="E636" t="s">
        <v>11</v>
      </c>
      <c r="F636" t="s">
        <v>17</v>
      </c>
      <c r="G636" t="s">
        <v>25</v>
      </c>
      <c r="H636">
        <v>78020.83</v>
      </c>
      <c r="I636">
        <v>1</v>
      </c>
      <c r="J636" t="str">
        <f t="shared" si="45"/>
        <v>High</v>
      </c>
      <c r="K636" t="str">
        <f t="shared" si="46"/>
        <v>High Risk</v>
      </c>
      <c r="L636">
        <f t="shared" si="47"/>
        <v>1</v>
      </c>
      <c r="M636">
        <f t="shared" si="48"/>
        <v>1</v>
      </c>
      <c r="N636" s="6">
        <f t="shared" si="49"/>
        <v>45673</v>
      </c>
    </row>
    <row r="637" spans="1:14" x14ac:dyDescent="0.3">
      <c r="A637">
        <v>380</v>
      </c>
      <c r="B637">
        <v>10098</v>
      </c>
      <c r="C637" t="s">
        <v>403</v>
      </c>
      <c r="D637" t="s">
        <v>23</v>
      </c>
      <c r="E637" t="s">
        <v>24</v>
      </c>
      <c r="F637" t="s">
        <v>17</v>
      </c>
      <c r="G637" t="s">
        <v>18</v>
      </c>
      <c r="H637">
        <v>9963.85</v>
      </c>
      <c r="I637">
        <v>0</v>
      </c>
      <c r="J637" t="str">
        <f t="shared" si="45"/>
        <v>High</v>
      </c>
      <c r="K637" t="str">
        <f t="shared" si="46"/>
        <v>Normal</v>
      </c>
      <c r="L637">
        <f t="shared" si="47"/>
        <v>1</v>
      </c>
      <c r="M637">
        <f t="shared" si="48"/>
        <v>1</v>
      </c>
      <c r="N637" s="6">
        <f t="shared" si="49"/>
        <v>45673</v>
      </c>
    </row>
    <row r="638" spans="1:14" x14ac:dyDescent="0.3">
      <c r="A638">
        <v>381</v>
      </c>
      <c r="B638">
        <v>10059</v>
      </c>
      <c r="C638" t="s">
        <v>404</v>
      </c>
      <c r="D638" t="s">
        <v>10</v>
      </c>
      <c r="E638" t="s">
        <v>11</v>
      </c>
      <c r="F638" t="s">
        <v>17</v>
      </c>
      <c r="G638" t="s">
        <v>18</v>
      </c>
      <c r="H638">
        <v>7658.54</v>
      </c>
      <c r="I638">
        <v>0</v>
      </c>
      <c r="J638" t="str">
        <f t="shared" si="45"/>
        <v>High</v>
      </c>
      <c r="K638" t="str">
        <f t="shared" si="46"/>
        <v>Normal</v>
      </c>
      <c r="L638">
        <f t="shared" si="47"/>
        <v>1</v>
      </c>
      <c r="M638">
        <f t="shared" si="48"/>
        <v>1</v>
      </c>
      <c r="N638" s="6">
        <f t="shared" si="49"/>
        <v>45673</v>
      </c>
    </row>
    <row r="639" spans="1:14" x14ac:dyDescent="0.3">
      <c r="A639">
        <v>382</v>
      </c>
      <c r="B639">
        <v>10096</v>
      </c>
      <c r="C639" t="s">
        <v>405</v>
      </c>
      <c r="D639" t="s">
        <v>29</v>
      </c>
      <c r="E639" t="s">
        <v>24</v>
      </c>
      <c r="F639" t="s">
        <v>12</v>
      </c>
      <c r="G639" t="s">
        <v>31</v>
      </c>
      <c r="H639">
        <v>36217.99</v>
      </c>
      <c r="I639">
        <v>0</v>
      </c>
      <c r="J639" t="str">
        <f t="shared" si="45"/>
        <v>High</v>
      </c>
      <c r="K639" t="str">
        <f t="shared" si="46"/>
        <v>Normal</v>
      </c>
      <c r="L639">
        <f t="shared" si="47"/>
        <v>1</v>
      </c>
      <c r="M639">
        <f t="shared" si="48"/>
        <v>1</v>
      </c>
      <c r="N639" s="6">
        <f t="shared" si="49"/>
        <v>45673</v>
      </c>
    </row>
    <row r="640" spans="1:14" x14ac:dyDescent="0.3">
      <c r="A640">
        <v>383</v>
      </c>
      <c r="B640">
        <v>10062</v>
      </c>
      <c r="C640" t="s">
        <v>406</v>
      </c>
      <c r="D640" t="s">
        <v>29</v>
      </c>
      <c r="E640" t="s">
        <v>11</v>
      </c>
      <c r="F640" t="s">
        <v>17</v>
      </c>
      <c r="G640" t="s">
        <v>13</v>
      </c>
      <c r="H640">
        <v>9307.58</v>
      </c>
      <c r="I640">
        <v>0</v>
      </c>
      <c r="J640" t="str">
        <f t="shared" si="45"/>
        <v>High</v>
      </c>
      <c r="K640" t="str">
        <f t="shared" si="46"/>
        <v>Normal</v>
      </c>
      <c r="L640">
        <f t="shared" si="47"/>
        <v>1</v>
      </c>
      <c r="M640">
        <f t="shared" si="48"/>
        <v>1</v>
      </c>
      <c r="N640" s="6">
        <f t="shared" si="49"/>
        <v>45673</v>
      </c>
    </row>
    <row r="641" spans="1:14" x14ac:dyDescent="0.3">
      <c r="A641">
        <v>384</v>
      </c>
      <c r="B641">
        <v>10084</v>
      </c>
      <c r="C641" t="s">
        <v>407</v>
      </c>
      <c r="D641" t="s">
        <v>23</v>
      </c>
      <c r="E641" t="s">
        <v>16</v>
      </c>
      <c r="F641" t="s">
        <v>17</v>
      </c>
      <c r="G641" t="s">
        <v>13</v>
      </c>
      <c r="H641">
        <v>58549.34</v>
      </c>
      <c r="I641">
        <v>0</v>
      </c>
      <c r="J641" t="str">
        <f t="shared" si="45"/>
        <v>High</v>
      </c>
      <c r="K641" t="str">
        <f t="shared" si="46"/>
        <v>Normal</v>
      </c>
      <c r="L641">
        <f t="shared" si="47"/>
        <v>1</v>
      </c>
      <c r="M641">
        <f t="shared" si="48"/>
        <v>1</v>
      </c>
      <c r="N641" s="6">
        <f t="shared" si="49"/>
        <v>45673</v>
      </c>
    </row>
    <row r="642" spans="1:14" x14ac:dyDescent="0.3">
      <c r="A642">
        <v>337</v>
      </c>
      <c r="B642">
        <v>10016</v>
      </c>
      <c r="C642" t="s">
        <v>360</v>
      </c>
      <c r="D642" t="s">
        <v>10</v>
      </c>
      <c r="E642" t="s">
        <v>24</v>
      </c>
      <c r="F642" t="s">
        <v>17</v>
      </c>
      <c r="G642" t="s">
        <v>18</v>
      </c>
      <c r="H642">
        <v>94159.14</v>
      </c>
      <c r="I642">
        <v>0</v>
      </c>
      <c r="J642" t="str">
        <f t="shared" ref="J642:J705" si="50">IF(E642&gt;50000,"High","Normal")</f>
        <v>High</v>
      </c>
      <c r="K642" t="str">
        <f t="shared" ref="K642:K705" si="51">IF(AND(H642&gt;50000,E642="Online"),"High Risk","Normal")</f>
        <v>Normal</v>
      </c>
      <c r="L642">
        <f t="shared" ref="L642:L705" si="52">COUNTIFS(C:C,C642,B:B,B642)</f>
        <v>1</v>
      </c>
      <c r="M642">
        <f t="shared" ref="M642:M705" si="53">IF(E642&gt;50000,1,0) + IF(H642="Unusual",1,0) + IF(I642&gt;3,1,0)</f>
        <v>1</v>
      </c>
      <c r="N642" s="6">
        <f t="shared" ref="N642:N705" si="54">INT(C642)</f>
        <v>45672</v>
      </c>
    </row>
    <row r="643" spans="1:14" x14ac:dyDescent="0.3">
      <c r="A643">
        <v>338</v>
      </c>
      <c r="B643">
        <v>10032</v>
      </c>
      <c r="C643" t="s">
        <v>361</v>
      </c>
      <c r="D643" t="s">
        <v>10</v>
      </c>
      <c r="E643" t="s">
        <v>11</v>
      </c>
      <c r="F643" t="s">
        <v>12</v>
      </c>
      <c r="G643" t="s">
        <v>31</v>
      </c>
      <c r="H643">
        <v>78442.2</v>
      </c>
      <c r="I643">
        <v>1</v>
      </c>
      <c r="J643" t="str">
        <f t="shared" si="50"/>
        <v>High</v>
      </c>
      <c r="K643" t="str">
        <f t="shared" si="51"/>
        <v>High Risk</v>
      </c>
      <c r="L643">
        <f t="shared" si="52"/>
        <v>1</v>
      </c>
      <c r="M643">
        <f t="shared" si="53"/>
        <v>1</v>
      </c>
      <c r="N643" s="6">
        <f t="shared" si="54"/>
        <v>45672</v>
      </c>
    </row>
    <row r="644" spans="1:14" x14ac:dyDescent="0.3">
      <c r="A644">
        <v>339</v>
      </c>
      <c r="B644">
        <v>10047</v>
      </c>
      <c r="C644" t="s">
        <v>362</v>
      </c>
      <c r="D644" t="s">
        <v>29</v>
      </c>
      <c r="E644" t="s">
        <v>16</v>
      </c>
      <c r="F644" t="s">
        <v>17</v>
      </c>
      <c r="G644" t="s">
        <v>25</v>
      </c>
      <c r="H644">
        <v>46292.88</v>
      </c>
      <c r="I644">
        <v>0</v>
      </c>
      <c r="J644" t="str">
        <f t="shared" si="50"/>
        <v>High</v>
      </c>
      <c r="K644" t="str">
        <f t="shared" si="51"/>
        <v>Normal</v>
      </c>
      <c r="L644">
        <f t="shared" si="52"/>
        <v>1</v>
      </c>
      <c r="M644">
        <f t="shared" si="53"/>
        <v>1</v>
      </c>
      <c r="N644" s="6">
        <f t="shared" si="54"/>
        <v>45672</v>
      </c>
    </row>
    <row r="645" spans="1:14" x14ac:dyDescent="0.3">
      <c r="A645">
        <v>340</v>
      </c>
      <c r="B645">
        <v>10075</v>
      </c>
      <c r="C645" t="s">
        <v>363</v>
      </c>
      <c r="D645" t="s">
        <v>29</v>
      </c>
      <c r="E645" t="s">
        <v>24</v>
      </c>
      <c r="F645" t="s">
        <v>12</v>
      </c>
      <c r="G645" t="s">
        <v>31</v>
      </c>
      <c r="H645">
        <v>86509.759999999995</v>
      </c>
      <c r="I645">
        <v>0</v>
      </c>
      <c r="J645" t="str">
        <f t="shared" si="50"/>
        <v>High</v>
      </c>
      <c r="K645" t="str">
        <f t="shared" si="51"/>
        <v>Normal</v>
      </c>
      <c r="L645">
        <f t="shared" si="52"/>
        <v>1</v>
      </c>
      <c r="M645">
        <f t="shared" si="53"/>
        <v>1</v>
      </c>
      <c r="N645" s="6">
        <f t="shared" si="54"/>
        <v>45672</v>
      </c>
    </row>
    <row r="646" spans="1:14" x14ac:dyDescent="0.3">
      <c r="A646">
        <v>341</v>
      </c>
      <c r="B646">
        <v>10058</v>
      </c>
      <c r="C646" t="s">
        <v>364</v>
      </c>
      <c r="D646" t="s">
        <v>10</v>
      </c>
      <c r="E646" t="s">
        <v>24</v>
      </c>
      <c r="F646" t="s">
        <v>17</v>
      </c>
      <c r="G646" t="s">
        <v>25</v>
      </c>
      <c r="H646">
        <v>25020.87</v>
      </c>
      <c r="I646">
        <v>0</v>
      </c>
      <c r="J646" t="str">
        <f t="shared" si="50"/>
        <v>High</v>
      </c>
      <c r="K646" t="str">
        <f t="shared" si="51"/>
        <v>Normal</v>
      </c>
      <c r="L646">
        <f t="shared" si="52"/>
        <v>1</v>
      </c>
      <c r="M646">
        <f t="shared" si="53"/>
        <v>1</v>
      </c>
      <c r="N646" s="6">
        <f t="shared" si="54"/>
        <v>45672</v>
      </c>
    </row>
    <row r="647" spans="1:14" x14ac:dyDescent="0.3">
      <c r="A647">
        <v>342</v>
      </c>
      <c r="B647">
        <v>10085</v>
      </c>
      <c r="C647" t="s">
        <v>365</v>
      </c>
      <c r="D647" t="s">
        <v>29</v>
      </c>
      <c r="E647" t="s">
        <v>24</v>
      </c>
      <c r="F647" t="s">
        <v>12</v>
      </c>
      <c r="G647" t="s">
        <v>31</v>
      </c>
      <c r="H647">
        <v>71740.34</v>
      </c>
      <c r="I647">
        <v>0</v>
      </c>
      <c r="J647" t="str">
        <f t="shared" si="50"/>
        <v>High</v>
      </c>
      <c r="K647" t="str">
        <f t="shared" si="51"/>
        <v>Normal</v>
      </c>
      <c r="L647">
        <f t="shared" si="52"/>
        <v>1</v>
      </c>
      <c r="M647">
        <f t="shared" si="53"/>
        <v>1</v>
      </c>
      <c r="N647" s="6">
        <f t="shared" si="54"/>
        <v>45672</v>
      </c>
    </row>
    <row r="648" spans="1:14" x14ac:dyDescent="0.3">
      <c r="A648">
        <v>343</v>
      </c>
      <c r="B648">
        <v>10021</v>
      </c>
      <c r="C648" t="s">
        <v>366</v>
      </c>
      <c r="D648" t="s">
        <v>23</v>
      </c>
      <c r="E648" t="s">
        <v>24</v>
      </c>
      <c r="F648" t="s">
        <v>12</v>
      </c>
      <c r="G648" t="s">
        <v>18</v>
      </c>
      <c r="H648">
        <v>85627.64</v>
      </c>
      <c r="I648">
        <v>0</v>
      </c>
      <c r="J648" t="str">
        <f t="shared" si="50"/>
        <v>High</v>
      </c>
      <c r="K648" t="str">
        <f t="shared" si="51"/>
        <v>Normal</v>
      </c>
      <c r="L648">
        <f t="shared" si="52"/>
        <v>1</v>
      </c>
      <c r="M648">
        <f t="shared" si="53"/>
        <v>1</v>
      </c>
      <c r="N648" s="6">
        <f t="shared" si="54"/>
        <v>45672</v>
      </c>
    </row>
    <row r="649" spans="1:14" x14ac:dyDescent="0.3">
      <c r="A649">
        <v>344</v>
      </c>
      <c r="B649">
        <v>10029</v>
      </c>
      <c r="C649" t="s">
        <v>367</v>
      </c>
      <c r="D649" t="s">
        <v>10</v>
      </c>
      <c r="E649" t="s">
        <v>24</v>
      </c>
      <c r="F649" t="s">
        <v>17</v>
      </c>
      <c r="G649" t="s">
        <v>18</v>
      </c>
      <c r="H649">
        <v>35741.19</v>
      </c>
      <c r="I649">
        <v>0</v>
      </c>
      <c r="J649" t="str">
        <f t="shared" si="50"/>
        <v>High</v>
      </c>
      <c r="K649" t="str">
        <f t="shared" si="51"/>
        <v>Normal</v>
      </c>
      <c r="L649">
        <f t="shared" si="52"/>
        <v>1</v>
      </c>
      <c r="M649">
        <f t="shared" si="53"/>
        <v>1</v>
      </c>
      <c r="N649" s="6">
        <f t="shared" si="54"/>
        <v>45672</v>
      </c>
    </row>
    <row r="650" spans="1:14" x14ac:dyDescent="0.3">
      <c r="A650">
        <v>345</v>
      </c>
      <c r="B650">
        <v>10037</v>
      </c>
      <c r="C650" t="s">
        <v>368</v>
      </c>
      <c r="D650" t="s">
        <v>29</v>
      </c>
      <c r="E650" t="s">
        <v>16</v>
      </c>
      <c r="F650" t="s">
        <v>12</v>
      </c>
      <c r="G650" t="s">
        <v>21</v>
      </c>
      <c r="H650">
        <v>75770.7</v>
      </c>
      <c r="I650">
        <v>0</v>
      </c>
      <c r="J650" t="str">
        <f t="shared" si="50"/>
        <v>High</v>
      </c>
      <c r="K650" t="str">
        <f t="shared" si="51"/>
        <v>Normal</v>
      </c>
      <c r="L650">
        <f t="shared" si="52"/>
        <v>1</v>
      </c>
      <c r="M650">
        <f t="shared" si="53"/>
        <v>1</v>
      </c>
      <c r="N650" s="6">
        <f t="shared" si="54"/>
        <v>45672</v>
      </c>
    </row>
    <row r="651" spans="1:14" x14ac:dyDescent="0.3">
      <c r="A651">
        <v>346</v>
      </c>
      <c r="B651">
        <v>10050</v>
      </c>
      <c r="C651" t="s">
        <v>369</v>
      </c>
      <c r="D651" t="s">
        <v>10</v>
      </c>
      <c r="E651" t="s">
        <v>16</v>
      </c>
      <c r="F651" t="s">
        <v>12</v>
      </c>
      <c r="G651" t="s">
        <v>13</v>
      </c>
      <c r="H651">
        <v>29577.73</v>
      </c>
      <c r="I651">
        <v>0</v>
      </c>
      <c r="J651" t="str">
        <f t="shared" si="50"/>
        <v>High</v>
      </c>
      <c r="K651" t="str">
        <f t="shared" si="51"/>
        <v>Normal</v>
      </c>
      <c r="L651">
        <f t="shared" si="52"/>
        <v>1</v>
      </c>
      <c r="M651">
        <f t="shared" si="53"/>
        <v>1</v>
      </c>
      <c r="N651" s="6">
        <f t="shared" si="54"/>
        <v>45672</v>
      </c>
    </row>
    <row r="652" spans="1:14" x14ac:dyDescent="0.3">
      <c r="A652">
        <v>347</v>
      </c>
      <c r="B652">
        <v>10053</v>
      </c>
      <c r="C652" t="s">
        <v>370</v>
      </c>
      <c r="D652" t="s">
        <v>20</v>
      </c>
      <c r="E652" t="s">
        <v>24</v>
      </c>
      <c r="F652" t="s">
        <v>17</v>
      </c>
      <c r="G652" t="s">
        <v>31</v>
      </c>
      <c r="H652">
        <v>29955.83</v>
      </c>
      <c r="I652">
        <v>0</v>
      </c>
      <c r="J652" t="str">
        <f t="shared" si="50"/>
        <v>High</v>
      </c>
      <c r="K652" t="str">
        <f t="shared" si="51"/>
        <v>Normal</v>
      </c>
      <c r="L652">
        <f t="shared" si="52"/>
        <v>1</v>
      </c>
      <c r="M652">
        <f t="shared" si="53"/>
        <v>1</v>
      </c>
      <c r="N652" s="6">
        <f t="shared" si="54"/>
        <v>45672</v>
      </c>
    </row>
    <row r="653" spans="1:14" x14ac:dyDescent="0.3">
      <c r="A653">
        <v>348</v>
      </c>
      <c r="B653">
        <v>10007</v>
      </c>
      <c r="C653" t="s">
        <v>371</v>
      </c>
      <c r="D653" t="s">
        <v>15</v>
      </c>
      <c r="E653" t="s">
        <v>11</v>
      </c>
      <c r="F653" t="s">
        <v>12</v>
      </c>
      <c r="G653" t="s">
        <v>21</v>
      </c>
      <c r="H653">
        <v>10795.01</v>
      </c>
      <c r="I653">
        <v>0</v>
      </c>
      <c r="J653" t="str">
        <f t="shared" si="50"/>
        <v>High</v>
      </c>
      <c r="K653" t="str">
        <f t="shared" si="51"/>
        <v>Normal</v>
      </c>
      <c r="L653">
        <f t="shared" si="52"/>
        <v>1</v>
      </c>
      <c r="M653">
        <f t="shared" si="53"/>
        <v>1</v>
      </c>
      <c r="N653" s="6">
        <f t="shared" si="54"/>
        <v>45672</v>
      </c>
    </row>
    <row r="654" spans="1:14" x14ac:dyDescent="0.3">
      <c r="A654">
        <v>349</v>
      </c>
      <c r="B654">
        <v>10026</v>
      </c>
      <c r="C654" t="s">
        <v>372</v>
      </c>
      <c r="D654" t="s">
        <v>10</v>
      </c>
      <c r="E654" t="s">
        <v>16</v>
      </c>
      <c r="F654" t="s">
        <v>17</v>
      </c>
      <c r="G654" t="s">
        <v>13</v>
      </c>
      <c r="H654">
        <v>44061.8</v>
      </c>
      <c r="I654">
        <v>0</v>
      </c>
      <c r="J654" t="str">
        <f t="shared" si="50"/>
        <v>High</v>
      </c>
      <c r="K654" t="str">
        <f t="shared" si="51"/>
        <v>Normal</v>
      </c>
      <c r="L654">
        <f t="shared" si="52"/>
        <v>1</v>
      </c>
      <c r="M654">
        <f t="shared" si="53"/>
        <v>1</v>
      </c>
      <c r="N654" s="6">
        <f t="shared" si="54"/>
        <v>45672</v>
      </c>
    </row>
    <row r="655" spans="1:14" x14ac:dyDescent="0.3">
      <c r="A655">
        <v>350</v>
      </c>
      <c r="B655">
        <v>10026</v>
      </c>
      <c r="C655" t="s">
        <v>373</v>
      </c>
      <c r="D655" t="s">
        <v>15</v>
      </c>
      <c r="E655" t="s">
        <v>11</v>
      </c>
      <c r="F655" t="s">
        <v>17</v>
      </c>
      <c r="G655" t="s">
        <v>31</v>
      </c>
      <c r="H655">
        <v>72998.22</v>
      </c>
      <c r="I655">
        <v>1</v>
      </c>
      <c r="J655" t="str">
        <f t="shared" si="50"/>
        <v>High</v>
      </c>
      <c r="K655" t="str">
        <f t="shared" si="51"/>
        <v>High Risk</v>
      </c>
      <c r="L655">
        <f t="shared" si="52"/>
        <v>1</v>
      </c>
      <c r="M655">
        <f t="shared" si="53"/>
        <v>1</v>
      </c>
      <c r="N655" s="6">
        <f t="shared" si="54"/>
        <v>45672</v>
      </c>
    </row>
    <row r="656" spans="1:14" x14ac:dyDescent="0.3">
      <c r="A656">
        <v>351</v>
      </c>
      <c r="B656">
        <v>10097</v>
      </c>
      <c r="C656" t="s">
        <v>374</v>
      </c>
      <c r="D656" t="s">
        <v>29</v>
      </c>
      <c r="E656" t="s">
        <v>16</v>
      </c>
      <c r="F656" t="s">
        <v>17</v>
      </c>
      <c r="G656" t="s">
        <v>25</v>
      </c>
      <c r="H656">
        <v>94028.06</v>
      </c>
      <c r="I656">
        <v>0</v>
      </c>
      <c r="J656" t="str">
        <f t="shared" si="50"/>
        <v>High</v>
      </c>
      <c r="K656" t="str">
        <f t="shared" si="51"/>
        <v>Normal</v>
      </c>
      <c r="L656">
        <f t="shared" si="52"/>
        <v>1</v>
      </c>
      <c r="M656">
        <f t="shared" si="53"/>
        <v>1</v>
      </c>
      <c r="N656" s="6">
        <f t="shared" si="54"/>
        <v>45672</v>
      </c>
    </row>
    <row r="657" spans="1:14" x14ac:dyDescent="0.3">
      <c r="A657">
        <v>352</v>
      </c>
      <c r="B657">
        <v>10020</v>
      </c>
      <c r="C657" t="s">
        <v>375</v>
      </c>
      <c r="D657" t="s">
        <v>15</v>
      </c>
      <c r="E657" t="s">
        <v>24</v>
      </c>
      <c r="F657" t="s">
        <v>17</v>
      </c>
      <c r="G657" t="s">
        <v>13</v>
      </c>
      <c r="H657">
        <v>60419.32</v>
      </c>
      <c r="I657">
        <v>0</v>
      </c>
      <c r="J657" t="str">
        <f t="shared" si="50"/>
        <v>High</v>
      </c>
      <c r="K657" t="str">
        <f t="shared" si="51"/>
        <v>Normal</v>
      </c>
      <c r="L657">
        <f t="shared" si="52"/>
        <v>1</v>
      </c>
      <c r="M657">
        <f t="shared" si="53"/>
        <v>1</v>
      </c>
      <c r="N657" s="6">
        <f t="shared" si="54"/>
        <v>45672</v>
      </c>
    </row>
    <row r="658" spans="1:14" x14ac:dyDescent="0.3">
      <c r="A658">
        <v>353</v>
      </c>
      <c r="B658">
        <v>10029</v>
      </c>
      <c r="C658" t="s">
        <v>376</v>
      </c>
      <c r="D658" t="s">
        <v>10</v>
      </c>
      <c r="E658" t="s">
        <v>16</v>
      </c>
      <c r="F658" t="s">
        <v>12</v>
      </c>
      <c r="G658" t="s">
        <v>18</v>
      </c>
      <c r="H658">
        <v>86327.24</v>
      </c>
      <c r="I658">
        <v>0</v>
      </c>
      <c r="J658" t="str">
        <f t="shared" si="50"/>
        <v>High</v>
      </c>
      <c r="K658" t="str">
        <f t="shared" si="51"/>
        <v>Normal</v>
      </c>
      <c r="L658">
        <f t="shared" si="52"/>
        <v>1</v>
      </c>
      <c r="M658">
        <f t="shared" si="53"/>
        <v>1</v>
      </c>
      <c r="N658" s="6">
        <f t="shared" si="54"/>
        <v>45672</v>
      </c>
    </row>
    <row r="659" spans="1:14" x14ac:dyDescent="0.3">
      <c r="A659">
        <v>354</v>
      </c>
      <c r="B659">
        <v>10096</v>
      </c>
      <c r="C659" t="s">
        <v>377</v>
      </c>
      <c r="D659" t="s">
        <v>20</v>
      </c>
      <c r="E659" t="s">
        <v>24</v>
      </c>
      <c r="F659" t="s">
        <v>12</v>
      </c>
      <c r="G659" t="s">
        <v>21</v>
      </c>
      <c r="H659">
        <v>82267.22</v>
      </c>
      <c r="I659">
        <v>0</v>
      </c>
      <c r="J659" t="str">
        <f t="shared" si="50"/>
        <v>High</v>
      </c>
      <c r="K659" t="str">
        <f t="shared" si="51"/>
        <v>Normal</v>
      </c>
      <c r="L659">
        <f t="shared" si="52"/>
        <v>1</v>
      </c>
      <c r="M659">
        <f t="shared" si="53"/>
        <v>1</v>
      </c>
      <c r="N659" s="6">
        <f t="shared" si="54"/>
        <v>45672</v>
      </c>
    </row>
    <row r="660" spans="1:14" x14ac:dyDescent="0.3">
      <c r="A660">
        <v>355</v>
      </c>
      <c r="B660">
        <v>10027</v>
      </c>
      <c r="C660" t="s">
        <v>378</v>
      </c>
      <c r="D660" t="s">
        <v>29</v>
      </c>
      <c r="E660" t="s">
        <v>16</v>
      </c>
      <c r="F660" t="s">
        <v>12</v>
      </c>
      <c r="G660" t="s">
        <v>13</v>
      </c>
      <c r="H660">
        <v>17416.97</v>
      </c>
      <c r="I660">
        <v>0</v>
      </c>
      <c r="J660" t="str">
        <f t="shared" si="50"/>
        <v>High</v>
      </c>
      <c r="K660" t="str">
        <f t="shared" si="51"/>
        <v>Normal</v>
      </c>
      <c r="L660">
        <f t="shared" si="52"/>
        <v>1</v>
      </c>
      <c r="M660">
        <f t="shared" si="53"/>
        <v>1</v>
      </c>
      <c r="N660" s="6">
        <f t="shared" si="54"/>
        <v>45672</v>
      </c>
    </row>
    <row r="661" spans="1:14" x14ac:dyDescent="0.3">
      <c r="A661">
        <v>356</v>
      </c>
      <c r="B661">
        <v>10063</v>
      </c>
      <c r="C661" t="s">
        <v>379</v>
      </c>
      <c r="D661" t="s">
        <v>10</v>
      </c>
      <c r="E661" t="s">
        <v>24</v>
      </c>
      <c r="F661" t="s">
        <v>17</v>
      </c>
      <c r="G661" t="s">
        <v>13</v>
      </c>
      <c r="H661">
        <v>48633.16</v>
      </c>
      <c r="I661">
        <v>0</v>
      </c>
      <c r="J661" t="str">
        <f t="shared" si="50"/>
        <v>High</v>
      </c>
      <c r="K661" t="str">
        <f t="shared" si="51"/>
        <v>Normal</v>
      </c>
      <c r="L661">
        <f t="shared" si="52"/>
        <v>1</v>
      </c>
      <c r="M661">
        <f t="shared" si="53"/>
        <v>1</v>
      </c>
      <c r="N661" s="6">
        <f t="shared" si="54"/>
        <v>45672</v>
      </c>
    </row>
    <row r="662" spans="1:14" x14ac:dyDescent="0.3">
      <c r="A662">
        <v>357</v>
      </c>
      <c r="B662">
        <v>10096</v>
      </c>
      <c r="C662" t="s">
        <v>380</v>
      </c>
      <c r="D662" t="s">
        <v>29</v>
      </c>
      <c r="E662" t="s">
        <v>24</v>
      </c>
      <c r="F662" t="s">
        <v>12</v>
      </c>
      <c r="G662" t="s">
        <v>18</v>
      </c>
      <c r="H662">
        <v>11780.66</v>
      </c>
      <c r="I662">
        <v>0</v>
      </c>
      <c r="J662" t="str">
        <f t="shared" si="50"/>
        <v>High</v>
      </c>
      <c r="K662" t="str">
        <f t="shared" si="51"/>
        <v>Normal</v>
      </c>
      <c r="L662">
        <f t="shared" si="52"/>
        <v>1</v>
      </c>
      <c r="M662">
        <f t="shared" si="53"/>
        <v>1</v>
      </c>
      <c r="N662" s="6">
        <f t="shared" si="54"/>
        <v>45672</v>
      </c>
    </row>
    <row r="663" spans="1:14" x14ac:dyDescent="0.3">
      <c r="A663">
        <v>358</v>
      </c>
      <c r="B663">
        <v>10068</v>
      </c>
      <c r="C663" t="s">
        <v>381</v>
      </c>
      <c r="D663" t="s">
        <v>23</v>
      </c>
      <c r="E663" t="s">
        <v>24</v>
      </c>
      <c r="F663" t="s">
        <v>12</v>
      </c>
      <c r="G663" t="s">
        <v>31</v>
      </c>
      <c r="H663">
        <v>68247.100000000006</v>
      </c>
      <c r="I663">
        <v>0</v>
      </c>
      <c r="J663" t="str">
        <f t="shared" si="50"/>
        <v>High</v>
      </c>
      <c r="K663" t="str">
        <f t="shared" si="51"/>
        <v>Normal</v>
      </c>
      <c r="L663">
        <f t="shared" si="52"/>
        <v>1</v>
      </c>
      <c r="M663">
        <f t="shared" si="53"/>
        <v>1</v>
      </c>
      <c r="N663" s="6">
        <f t="shared" si="54"/>
        <v>45672</v>
      </c>
    </row>
    <row r="664" spans="1:14" x14ac:dyDescent="0.3">
      <c r="A664">
        <v>359</v>
      </c>
      <c r="B664">
        <v>10060</v>
      </c>
      <c r="C664" t="s">
        <v>382</v>
      </c>
      <c r="D664" t="s">
        <v>15</v>
      </c>
      <c r="E664" t="s">
        <v>24</v>
      </c>
      <c r="F664" t="s">
        <v>17</v>
      </c>
      <c r="G664" t="s">
        <v>25</v>
      </c>
      <c r="H664">
        <v>94994.98</v>
      </c>
      <c r="I664">
        <v>0</v>
      </c>
      <c r="J664" t="str">
        <f t="shared" si="50"/>
        <v>High</v>
      </c>
      <c r="K664" t="str">
        <f t="shared" si="51"/>
        <v>Normal</v>
      </c>
      <c r="L664">
        <f t="shared" si="52"/>
        <v>1</v>
      </c>
      <c r="M664">
        <f t="shared" si="53"/>
        <v>1</v>
      </c>
      <c r="N664" s="6">
        <f t="shared" si="54"/>
        <v>45672</v>
      </c>
    </row>
    <row r="665" spans="1:14" x14ac:dyDescent="0.3">
      <c r="A665">
        <v>360</v>
      </c>
      <c r="B665">
        <v>10047</v>
      </c>
      <c r="C665" t="s">
        <v>383</v>
      </c>
      <c r="D665" t="s">
        <v>23</v>
      </c>
      <c r="E665" t="s">
        <v>11</v>
      </c>
      <c r="F665" t="s">
        <v>17</v>
      </c>
      <c r="G665" t="s">
        <v>18</v>
      </c>
      <c r="H665">
        <v>13795.24</v>
      </c>
      <c r="I665">
        <v>0</v>
      </c>
      <c r="J665" t="str">
        <f t="shared" si="50"/>
        <v>High</v>
      </c>
      <c r="K665" t="str">
        <f t="shared" si="51"/>
        <v>Normal</v>
      </c>
      <c r="L665">
        <f t="shared" si="52"/>
        <v>1</v>
      </c>
      <c r="M665">
        <f t="shared" si="53"/>
        <v>1</v>
      </c>
      <c r="N665" s="6">
        <f t="shared" si="54"/>
        <v>45672</v>
      </c>
    </row>
    <row r="666" spans="1:14" x14ac:dyDescent="0.3">
      <c r="A666">
        <v>313</v>
      </c>
      <c r="B666">
        <v>10098</v>
      </c>
      <c r="C666" t="s">
        <v>336</v>
      </c>
      <c r="D666" t="s">
        <v>29</v>
      </c>
      <c r="E666" t="s">
        <v>24</v>
      </c>
      <c r="F666" t="s">
        <v>17</v>
      </c>
      <c r="G666" t="s">
        <v>21</v>
      </c>
      <c r="H666">
        <v>84968.47</v>
      </c>
      <c r="I666">
        <v>0</v>
      </c>
      <c r="J666" t="str">
        <f t="shared" si="50"/>
        <v>High</v>
      </c>
      <c r="K666" t="str">
        <f t="shared" si="51"/>
        <v>Normal</v>
      </c>
      <c r="L666">
        <f t="shared" si="52"/>
        <v>1</v>
      </c>
      <c r="M666">
        <f t="shared" si="53"/>
        <v>1</v>
      </c>
      <c r="N666" s="6">
        <f t="shared" si="54"/>
        <v>45671</v>
      </c>
    </row>
    <row r="667" spans="1:14" x14ac:dyDescent="0.3">
      <c r="A667">
        <v>314</v>
      </c>
      <c r="B667">
        <v>10088</v>
      </c>
      <c r="C667" t="s">
        <v>337</v>
      </c>
      <c r="D667" t="s">
        <v>29</v>
      </c>
      <c r="E667" t="s">
        <v>16</v>
      </c>
      <c r="F667" t="s">
        <v>12</v>
      </c>
      <c r="G667" t="s">
        <v>21</v>
      </c>
      <c r="H667">
        <v>8990.07</v>
      </c>
      <c r="I667">
        <v>0</v>
      </c>
      <c r="J667" t="str">
        <f t="shared" si="50"/>
        <v>High</v>
      </c>
      <c r="K667" t="str">
        <f t="shared" si="51"/>
        <v>Normal</v>
      </c>
      <c r="L667">
        <f t="shared" si="52"/>
        <v>1</v>
      </c>
      <c r="M667">
        <f t="shared" si="53"/>
        <v>1</v>
      </c>
      <c r="N667" s="6">
        <f t="shared" si="54"/>
        <v>45671</v>
      </c>
    </row>
    <row r="668" spans="1:14" x14ac:dyDescent="0.3">
      <c r="A668">
        <v>315</v>
      </c>
      <c r="B668">
        <v>10098</v>
      </c>
      <c r="C668" t="s">
        <v>338</v>
      </c>
      <c r="D668" t="s">
        <v>15</v>
      </c>
      <c r="E668" t="s">
        <v>11</v>
      </c>
      <c r="F668" t="s">
        <v>12</v>
      </c>
      <c r="G668" t="s">
        <v>18</v>
      </c>
      <c r="H668">
        <v>99170.44</v>
      </c>
      <c r="I668">
        <v>1</v>
      </c>
      <c r="J668" t="str">
        <f t="shared" si="50"/>
        <v>High</v>
      </c>
      <c r="K668" t="str">
        <f t="shared" si="51"/>
        <v>High Risk</v>
      </c>
      <c r="L668">
        <f t="shared" si="52"/>
        <v>1</v>
      </c>
      <c r="M668">
        <f t="shared" si="53"/>
        <v>1</v>
      </c>
      <c r="N668" s="6">
        <f t="shared" si="54"/>
        <v>45671</v>
      </c>
    </row>
    <row r="669" spans="1:14" x14ac:dyDescent="0.3">
      <c r="A669">
        <v>316</v>
      </c>
      <c r="B669">
        <v>10024</v>
      </c>
      <c r="C669" t="s">
        <v>339</v>
      </c>
      <c r="D669" t="s">
        <v>10</v>
      </c>
      <c r="E669" t="s">
        <v>11</v>
      </c>
      <c r="F669" t="s">
        <v>12</v>
      </c>
      <c r="G669" t="s">
        <v>25</v>
      </c>
      <c r="H669">
        <v>54146.19</v>
      </c>
      <c r="I669">
        <v>1</v>
      </c>
      <c r="J669" t="str">
        <f t="shared" si="50"/>
        <v>High</v>
      </c>
      <c r="K669" t="str">
        <f t="shared" si="51"/>
        <v>High Risk</v>
      </c>
      <c r="L669">
        <f t="shared" si="52"/>
        <v>1</v>
      </c>
      <c r="M669">
        <f t="shared" si="53"/>
        <v>1</v>
      </c>
      <c r="N669" s="6">
        <f t="shared" si="54"/>
        <v>45671</v>
      </c>
    </row>
    <row r="670" spans="1:14" x14ac:dyDescent="0.3">
      <c r="A670">
        <v>317</v>
      </c>
      <c r="B670">
        <v>10092</v>
      </c>
      <c r="C670" t="s">
        <v>340</v>
      </c>
      <c r="D670" t="s">
        <v>29</v>
      </c>
      <c r="E670" t="s">
        <v>11</v>
      </c>
      <c r="F670" t="s">
        <v>17</v>
      </c>
      <c r="G670" t="s">
        <v>21</v>
      </c>
      <c r="H670">
        <v>98486.09</v>
      </c>
      <c r="I670">
        <v>1</v>
      </c>
      <c r="J670" t="str">
        <f t="shared" si="50"/>
        <v>High</v>
      </c>
      <c r="K670" t="str">
        <f t="shared" si="51"/>
        <v>High Risk</v>
      </c>
      <c r="L670">
        <f t="shared" si="52"/>
        <v>1</v>
      </c>
      <c r="M670">
        <f t="shared" si="53"/>
        <v>1</v>
      </c>
      <c r="N670" s="6">
        <f t="shared" si="54"/>
        <v>45671</v>
      </c>
    </row>
    <row r="671" spans="1:14" x14ac:dyDescent="0.3">
      <c r="A671">
        <v>318</v>
      </c>
      <c r="B671">
        <v>10017</v>
      </c>
      <c r="C671" t="s">
        <v>341</v>
      </c>
      <c r="D671" t="s">
        <v>20</v>
      </c>
      <c r="E671" t="s">
        <v>16</v>
      </c>
      <c r="F671" t="s">
        <v>12</v>
      </c>
      <c r="G671" t="s">
        <v>21</v>
      </c>
      <c r="H671">
        <v>93905.74</v>
      </c>
      <c r="I671">
        <v>0</v>
      </c>
      <c r="J671" t="str">
        <f t="shared" si="50"/>
        <v>High</v>
      </c>
      <c r="K671" t="str">
        <f t="shared" si="51"/>
        <v>Normal</v>
      </c>
      <c r="L671">
        <f t="shared" si="52"/>
        <v>1</v>
      </c>
      <c r="M671">
        <f t="shared" si="53"/>
        <v>1</v>
      </c>
      <c r="N671" s="6">
        <f t="shared" si="54"/>
        <v>45671</v>
      </c>
    </row>
    <row r="672" spans="1:14" x14ac:dyDescent="0.3">
      <c r="A672">
        <v>319</v>
      </c>
      <c r="B672">
        <v>10081</v>
      </c>
      <c r="C672" t="s">
        <v>342</v>
      </c>
      <c r="D672" t="s">
        <v>23</v>
      </c>
      <c r="E672" t="s">
        <v>16</v>
      </c>
      <c r="F672" t="s">
        <v>17</v>
      </c>
      <c r="G672" t="s">
        <v>25</v>
      </c>
      <c r="H672">
        <v>45336.09</v>
      </c>
      <c r="I672">
        <v>0</v>
      </c>
      <c r="J672" t="str">
        <f t="shared" si="50"/>
        <v>High</v>
      </c>
      <c r="K672" t="str">
        <f t="shared" si="51"/>
        <v>Normal</v>
      </c>
      <c r="L672">
        <f t="shared" si="52"/>
        <v>1</v>
      </c>
      <c r="M672">
        <f t="shared" si="53"/>
        <v>1</v>
      </c>
      <c r="N672" s="6">
        <f t="shared" si="54"/>
        <v>45671</v>
      </c>
    </row>
    <row r="673" spans="1:14" x14ac:dyDescent="0.3">
      <c r="A673">
        <v>320</v>
      </c>
      <c r="B673">
        <v>10065</v>
      </c>
      <c r="C673" t="s">
        <v>343</v>
      </c>
      <c r="D673" t="s">
        <v>20</v>
      </c>
      <c r="E673" t="s">
        <v>24</v>
      </c>
      <c r="F673" t="s">
        <v>12</v>
      </c>
      <c r="G673" t="s">
        <v>18</v>
      </c>
      <c r="H673">
        <v>19929.259999999998</v>
      </c>
      <c r="I673">
        <v>0</v>
      </c>
      <c r="J673" t="str">
        <f t="shared" si="50"/>
        <v>High</v>
      </c>
      <c r="K673" t="str">
        <f t="shared" si="51"/>
        <v>Normal</v>
      </c>
      <c r="L673">
        <f t="shared" si="52"/>
        <v>1</v>
      </c>
      <c r="M673">
        <f t="shared" si="53"/>
        <v>1</v>
      </c>
      <c r="N673" s="6">
        <f t="shared" si="54"/>
        <v>45671</v>
      </c>
    </row>
    <row r="674" spans="1:14" x14ac:dyDescent="0.3">
      <c r="A674">
        <v>321</v>
      </c>
      <c r="B674">
        <v>10053</v>
      </c>
      <c r="C674" t="s">
        <v>344</v>
      </c>
      <c r="D674" t="s">
        <v>10</v>
      </c>
      <c r="E674" t="s">
        <v>16</v>
      </c>
      <c r="F674" t="s">
        <v>12</v>
      </c>
      <c r="G674" t="s">
        <v>21</v>
      </c>
      <c r="H674">
        <v>16571.990000000002</v>
      </c>
      <c r="I674">
        <v>0</v>
      </c>
      <c r="J674" t="str">
        <f t="shared" si="50"/>
        <v>High</v>
      </c>
      <c r="K674" t="str">
        <f t="shared" si="51"/>
        <v>Normal</v>
      </c>
      <c r="L674">
        <f t="shared" si="52"/>
        <v>1</v>
      </c>
      <c r="M674">
        <f t="shared" si="53"/>
        <v>1</v>
      </c>
      <c r="N674" s="6">
        <f t="shared" si="54"/>
        <v>45671</v>
      </c>
    </row>
    <row r="675" spans="1:14" x14ac:dyDescent="0.3">
      <c r="A675">
        <v>322</v>
      </c>
      <c r="B675">
        <v>10034</v>
      </c>
      <c r="C675" t="s">
        <v>345</v>
      </c>
      <c r="D675" t="s">
        <v>20</v>
      </c>
      <c r="E675" t="s">
        <v>24</v>
      </c>
      <c r="F675" t="s">
        <v>17</v>
      </c>
      <c r="G675" t="s">
        <v>18</v>
      </c>
      <c r="H675">
        <v>24074.94</v>
      </c>
      <c r="I675">
        <v>0</v>
      </c>
      <c r="J675" t="str">
        <f t="shared" si="50"/>
        <v>High</v>
      </c>
      <c r="K675" t="str">
        <f t="shared" si="51"/>
        <v>Normal</v>
      </c>
      <c r="L675">
        <f t="shared" si="52"/>
        <v>1</v>
      </c>
      <c r="M675">
        <f t="shared" si="53"/>
        <v>1</v>
      </c>
      <c r="N675" s="6">
        <f t="shared" si="54"/>
        <v>45671</v>
      </c>
    </row>
    <row r="676" spans="1:14" x14ac:dyDescent="0.3">
      <c r="A676">
        <v>323</v>
      </c>
      <c r="B676">
        <v>10079</v>
      </c>
      <c r="C676" t="s">
        <v>346</v>
      </c>
      <c r="D676" t="s">
        <v>15</v>
      </c>
      <c r="E676" t="s">
        <v>24</v>
      </c>
      <c r="F676" t="s">
        <v>17</v>
      </c>
      <c r="G676" t="s">
        <v>31</v>
      </c>
      <c r="H676">
        <v>71042.25</v>
      </c>
      <c r="I676">
        <v>0</v>
      </c>
      <c r="J676" t="str">
        <f t="shared" si="50"/>
        <v>High</v>
      </c>
      <c r="K676" t="str">
        <f t="shared" si="51"/>
        <v>Normal</v>
      </c>
      <c r="L676">
        <f t="shared" si="52"/>
        <v>1</v>
      </c>
      <c r="M676">
        <f t="shared" si="53"/>
        <v>1</v>
      </c>
      <c r="N676" s="6">
        <f t="shared" si="54"/>
        <v>45671</v>
      </c>
    </row>
    <row r="677" spans="1:14" x14ac:dyDescent="0.3">
      <c r="A677">
        <v>324</v>
      </c>
      <c r="B677">
        <v>10060</v>
      </c>
      <c r="C677" t="s">
        <v>347</v>
      </c>
      <c r="D677" t="s">
        <v>10</v>
      </c>
      <c r="E677" t="s">
        <v>16</v>
      </c>
      <c r="F677" t="s">
        <v>17</v>
      </c>
      <c r="G677" t="s">
        <v>18</v>
      </c>
      <c r="H677">
        <v>27367.7</v>
      </c>
      <c r="I677">
        <v>0</v>
      </c>
      <c r="J677" t="str">
        <f t="shared" si="50"/>
        <v>High</v>
      </c>
      <c r="K677" t="str">
        <f t="shared" si="51"/>
        <v>Normal</v>
      </c>
      <c r="L677">
        <f t="shared" si="52"/>
        <v>1</v>
      </c>
      <c r="M677">
        <f t="shared" si="53"/>
        <v>1</v>
      </c>
      <c r="N677" s="6">
        <f t="shared" si="54"/>
        <v>45671</v>
      </c>
    </row>
    <row r="678" spans="1:14" x14ac:dyDescent="0.3">
      <c r="A678">
        <v>325</v>
      </c>
      <c r="B678">
        <v>10040</v>
      </c>
      <c r="C678" t="s">
        <v>348</v>
      </c>
      <c r="D678" t="s">
        <v>23</v>
      </c>
      <c r="E678" t="s">
        <v>24</v>
      </c>
      <c r="F678" t="s">
        <v>17</v>
      </c>
      <c r="G678" t="s">
        <v>13</v>
      </c>
      <c r="H678">
        <v>34208.379999999997</v>
      </c>
      <c r="I678">
        <v>0</v>
      </c>
      <c r="J678" t="str">
        <f t="shared" si="50"/>
        <v>High</v>
      </c>
      <c r="K678" t="str">
        <f t="shared" si="51"/>
        <v>Normal</v>
      </c>
      <c r="L678">
        <f t="shared" si="52"/>
        <v>1</v>
      </c>
      <c r="M678">
        <f t="shared" si="53"/>
        <v>1</v>
      </c>
      <c r="N678" s="6">
        <f t="shared" si="54"/>
        <v>45671</v>
      </c>
    </row>
    <row r="679" spans="1:14" x14ac:dyDescent="0.3">
      <c r="A679">
        <v>326</v>
      </c>
      <c r="B679">
        <v>10099</v>
      </c>
      <c r="C679" t="s">
        <v>349</v>
      </c>
      <c r="D679" t="s">
        <v>15</v>
      </c>
      <c r="E679" t="s">
        <v>16</v>
      </c>
      <c r="F679" t="s">
        <v>17</v>
      </c>
      <c r="G679" t="s">
        <v>13</v>
      </c>
      <c r="H679">
        <v>44933</v>
      </c>
      <c r="I679">
        <v>0</v>
      </c>
      <c r="J679" t="str">
        <f t="shared" si="50"/>
        <v>High</v>
      </c>
      <c r="K679" t="str">
        <f t="shared" si="51"/>
        <v>Normal</v>
      </c>
      <c r="L679">
        <f t="shared" si="52"/>
        <v>1</v>
      </c>
      <c r="M679">
        <f t="shared" si="53"/>
        <v>1</v>
      </c>
      <c r="N679" s="6">
        <f t="shared" si="54"/>
        <v>45671</v>
      </c>
    </row>
    <row r="680" spans="1:14" x14ac:dyDescent="0.3">
      <c r="A680">
        <v>327</v>
      </c>
      <c r="B680">
        <v>10032</v>
      </c>
      <c r="C680" t="s">
        <v>350</v>
      </c>
      <c r="D680" t="s">
        <v>10</v>
      </c>
      <c r="E680" t="s">
        <v>24</v>
      </c>
      <c r="F680" t="s">
        <v>17</v>
      </c>
      <c r="G680" t="s">
        <v>18</v>
      </c>
      <c r="H680">
        <v>91331.94</v>
      </c>
      <c r="I680">
        <v>0</v>
      </c>
      <c r="J680" t="str">
        <f t="shared" si="50"/>
        <v>High</v>
      </c>
      <c r="K680" t="str">
        <f t="shared" si="51"/>
        <v>Normal</v>
      </c>
      <c r="L680">
        <f t="shared" si="52"/>
        <v>1</v>
      </c>
      <c r="M680">
        <f t="shared" si="53"/>
        <v>1</v>
      </c>
      <c r="N680" s="6">
        <f t="shared" si="54"/>
        <v>45671</v>
      </c>
    </row>
    <row r="681" spans="1:14" x14ac:dyDescent="0.3">
      <c r="A681">
        <v>328</v>
      </c>
      <c r="B681">
        <v>10067</v>
      </c>
      <c r="C681" t="s">
        <v>351</v>
      </c>
      <c r="D681" t="s">
        <v>23</v>
      </c>
      <c r="E681" t="s">
        <v>16</v>
      </c>
      <c r="F681" t="s">
        <v>12</v>
      </c>
      <c r="G681" t="s">
        <v>13</v>
      </c>
      <c r="H681">
        <v>19020.400000000001</v>
      </c>
      <c r="I681">
        <v>0</v>
      </c>
      <c r="J681" t="str">
        <f t="shared" si="50"/>
        <v>High</v>
      </c>
      <c r="K681" t="str">
        <f t="shared" si="51"/>
        <v>Normal</v>
      </c>
      <c r="L681">
        <f t="shared" si="52"/>
        <v>1</v>
      </c>
      <c r="M681">
        <f t="shared" si="53"/>
        <v>1</v>
      </c>
      <c r="N681" s="6">
        <f t="shared" si="54"/>
        <v>45671</v>
      </c>
    </row>
    <row r="682" spans="1:14" x14ac:dyDescent="0.3">
      <c r="A682">
        <v>329</v>
      </c>
      <c r="B682">
        <v>10032</v>
      </c>
      <c r="C682" t="s">
        <v>352</v>
      </c>
      <c r="D682" t="s">
        <v>15</v>
      </c>
      <c r="E682" t="s">
        <v>16</v>
      </c>
      <c r="F682" t="s">
        <v>12</v>
      </c>
      <c r="G682" t="s">
        <v>31</v>
      </c>
      <c r="H682">
        <v>602.15</v>
      </c>
      <c r="I682">
        <v>0</v>
      </c>
      <c r="J682" t="str">
        <f t="shared" si="50"/>
        <v>High</v>
      </c>
      <c r="K682" t="str">
        <f t="shared" si="51"/>
        <v>Normal</v>
      </c>
      <c r="L682">
        <f t="shared" si="52"/>
        <v>1</v>
      </c>
      <c r="M682">
        <f t="shared" si="53"/>
        <v>1</v>
      </c>
      <c r="N682" s="6">
        <f t="shared" si="54"/>
        <v>45671</v>
      </c>
    </row>
    <row r="683" spans="1:14" x14ac:dyDescent="0.3">
      <c r="A683">
        <v>330</v>
      </c>
      <c r="B683">
        <v>10013</v>
      </c>
      <c r="C683" t="s">
        <v>353</v>
      </c>
      <c r="D683" t="s">
        <v>15</v>
      </c>
      <c r="E683" t="s">
        <v>24</v>
      </c>
      <c r="F683" t="s">
        <v>17</v>
      </c>
      <c r="G683" t="s">
        <v>25</v>
      </c>
      <c r="H683">
        <v>6103.63</v>
      </c>
      <c r="I683">
        <v>0</v>
      </c>
      <c r="J683" t="str">
        <f t="shared" si="50"/>
        <v>High</v>
      </c>
      <c r="K683" t="str">
        <f t="shared" si="51"/>
        <v>Normal</v>
      </c>
      <c r="L683">
        <f t="shared" si="52"/>
        <v>1</v>
      </c>
      <c r="M683">
        <f t="shared" si="53"/>
        <v>1</v>
      </c>
      <c r="N683" s="6">
        <f t="shared" si="54"/>
        <v>45671</v>
      </c>
    </row>
    <row r="684" spans="1:14" x14ac:dyDescent="0.3">
      <c r="A684">
        <v>331</v>
      </c>
      <c r="B684">
        <v>10020</v>
      </c>
      <c r="C684" t="s">
        <v>354</v>
      </c>
      <c r="D684" t="s">
        <v>10</v>
      </c>
      <c r="E684" t="s">
        <v>11</v>
      </c>
      <c r="F684" t="s">
        <v>12</v>
      </c>
      <c r="G684" t="s">
        <v>13</v>
      </c>
      <c r="H684">
        <v>90486.16</v>
      </c>
      <c r="I684">
        <v>1</v>
      </c>
      <c r="J684" t="str">
        <f t="shared" si="50"/>
        <v>High</v>
      </c>
      <c r="K684" t="str">
        <f t="shared" si="51"/>
        <v>High Risk</v>
      </c>
      <c r="L684">
        <f t="shared" si="52"/>
        <v>1</v>
      </c>
      <c r="M684">
        <f t="shared" si="53"/>
        <v>1</v>
      </c>
      <c r="N684" s="6">
        <f t="shared" si="54"/>
        <v>45671</v>
      </c>
    </row>
    <row r="685" spans="1:14" x14ac:dyDescent="0.3">
      <c r="A685">
        <v>332</v>
      </c>
      <c r="B685">
        <v>10047</v>
      </c>
      <c r="C685" t="s">
        <v>355</v>
      </c>
      <c r="D685" t="s">
        <v>29</v>
      </c>
      <c r="E685" t="s">
        <v>24</v>
      </c>
      <c r="F685" t="s">
        <v>17</v>
      </c>
      <c r="G685" t="s">
        <v>13</v>
      </c>
      <c r="H685">
        <v>64786.89</v>
      </c>
      <c r="I685">
        <v>0</v>
      </c>
      <c r="J685" t="str">
        <f t="shared" si="50"/>
        <v>High</v>
      </c>
      <c r="K685" t="str">
        <f t="shared" si="51"/>
        <v>Normal</v>
      </c>
      <c r="L685">
        <f t="shared" si="52"/>
        <v>1</v>
      </c>
      <c r="M685">
        <f t="shared" si="53"/>
        <v>1</v>
      </c>
      <c r="N685" s="6">
        <f t="shared" si="54"/>
        <v>45671</v>
      </c>
    </row>
    <row r="686" spans="1:14" x14ac:dyDescent="0.3">
      <c r="A686">
        <v>333</v>
      </c>
      <c r="B686">
        <v>10019</v>
      </c>
      <c r="C686" t="s">
        <v>356</v>
      </c>
      <c r="D686" t="s">
        <v>15</v>
      </c>
      <c r="E686" t="s">
        <v>16</v>
      </c>
      <c r="F686" t="s">
        <v>12</v>
      </c>
      <c r="G686" t="s">
        <v>18</v>
      </c>
      <c r="H686">
        <v>27376.76</v>
      </c>
      <c r="I686">
        <v>0</v>
      </c>
      <c r="J686" t="str">
        <f t="shared" si="50"/>
        <v>High</v>
      </c>
      <c r="K686" t="str">
        <f t="shared" si="51"/>
        <v>Normal</v>
      </c>
      <c r="L686">
        <f t="shared" si="52"/>
        <v>1</v>
      </c>
      <c r="M686">
        <f t="shared" si="53"/>
        <v>1</v>
      </c>
      <c r="N686" s="6">
        <f t="shared" si="54"/>
        <v>45671</v>
      </c>
    </row>
    <row r="687" spans="1:14" x14ac:dyDescent="0.3">
      <c r="A687">
        <v>334</v>
      </c>
      <c r="B687">
        <v>10007</v>
      </c>
      <c r="C687" t="s">
        <v>357</v>
      </c>
      <c r="D687" t="s">
        <v>15</v>
      </c>
      <c r="E687" t="s">
        <v>11</v>
      </c>
      <c r="F687" t="s">
        <v>12</v>
      </c>
      <c r="G687" t="s">
        <v>31</v>
      </c>
      <c r="H687">
        <v>17801.53</v>
      </c>
      <c r="I687">
        <v>0</v>
      </c>
      <c r="J687" t="str">
        <f t="shared" si="50"/>
        <v>High</v>
      </c>
      <c r="K687" t="str">
        <f t="shared" si="51"/>
        <v>Normal</v>
      </c>
      <c r="L687">
        <f t="shared" si="52"/>
        <v>1</v>
      </c>
      <c r="M687">
        <f t="shared" si="53"/>
        <v>1</v>
      </c>
      <c r="N687" s="6">
        <f t="shared" si="54"/>
        <v>45671</v>
      </c>
    </row>
    <row r="688" spans="1:14" x14ac:dyDescent="0.3">
      <c r="A688">
        <v>335</v>
      </c>
      <c r="B688">
        <v>10006</v>
      </c>
      <c r="C688" t="s">
        <v>358</v>
      </c>
      <c r="D688" t="s">
        <v>23</v>
      </c>
      <c r="E688" t="s">
        <v>24</v>
      </c>
      <c r="F688" t="s">
        <v>17</v>
      </c>
      <c r="G688" t="s">
        <v>25</v>
      </c>
      <c r="H688">
        <v>29497.25</v>
      </c>
      <c r="I688">
        <v>0</v>
      </c>
      <c r="J688" t="str">
        <f t="shared" si="50"/>
        <v>High</v>
      </c>
      <c r="K688" t="str">
        <f t="shared" si="51"/>
        <v>Normal</v>
      </c>
      <c r="L688">
        <f t="shared" si="52"/>
        <v>1</v>
      </c>
      <c r="M688">
        <f t="shared" si="53"/>
        <v>1</v>
      </c>
      <c r="N688" s="6">
        <f t="shared" si="54"/>
        <v>45671</v>
      </c>
    </row>
    <row r="689" spans="1:14" x14ac:dyDescent="0.3">
      <c r="A689">
        <v>336</v>
      </c>
      <c r="B689">
        <v>10066</v>
      </c>
      <c r="C689" t="s">
        <v>359</v>
      </c>
      <c r="D689" t="s">
        <v>20</v>
      </c>
      <c r="E689" t="s">
        <v>24</v>
      </c>
      <c r="F689" t="s">
        <v>17</v>
      </c>
      <c r="G689" t="s">
        <v>18</v>
      </c>
      <c r="H689">
        <v>11568.21</v>
      </c>
      <c r="I689">
        <v>0</v>
      </c>
      <c r="J689" t="str">
        <f t="shared" si="50"/>
        <v>High</v>
      </c>
      <c r="K689" t="str">
        <f t="shared" si="51"/>
        <v>Normal</v>
      </c>
      <c r="L689">
        <f t="shared" si="52"/>
        <v>1</v>
      </c>
      <c r="M689">
        <f t="shared" si="53"/>
        <v>1</v>
      </c>
      <c r="N689" s="6">
        <f t="shared" si="54"/>
        <v>45671</v>
      </c>
    </row>
    <row r="690" spans="1:14" x14ac:dyDescent="0.3">
      <c r="A690">
        <v>289</v>
      </c>
      <c r="B690">
        <v>10059</v>
      </c>
      <c r="C690" t="s">
        <v>312</v>
      </c>
      <c r="D690" t="s">
        <v>20</v>
      </c>
      <c r="E690" t="s">
        <v>16</v>
      </c>
      <c r="F690" t="s">
        <v>12</v>
      </c>
      <c r="G690" t="s">
        <v>21</v>
      </c>
      <c r="H690">
        <v>29322.39</v>
      </c>
      <c r="I690">
        <v>0</v>
      </c>
      <c r="J690" t="str">
        <f t="shared" si="50"/>
        <v>High</v>
      </c>
      <c r="K690" t="str">
        <f t="shared" si="51"/>
        <v>Normal</v>
      </c>
      <c r="L690">
        <f t="shared" si="52"/>
        <v>1</v>
      </c>
      <c r="M690">
        <f t="shared" si="53"/>
        <v>1</v>
      </c>
      <c r="N690" s="6">
        <f t="shared" si="54"/>
        <v>45670</v>
      </c>
    </row>
    <row r="691" spans="1:14" x14ac:dyDescent="0.3">
      <c r="A691">
        <v>290</v>
      </c>
      <c r="B691">
        <v>10001</v>
      </c>
      <c r="C691" t="s">
        <v>313</v>
      </c>
      <c r="D691" t="s">
        <v>29</v>
      </c>
      <c r="E691" t="s">
        <v>24</v>
      </c>
      <c r="F691" t="s">
        <v>12</v>
      </c>
      <c r="G691" t="s">
        <v>13</v>
      </c>
      <c r="H691">
        <v>33287.339999999997</v>
      </c>
      <c r="I691">
        <v>0</v>
      </c>
      <c r="J691" t="str">
        <f t="shared" si="50"/>
        <v>High</v>
      </c>
      <c r="K691" t="str">
        <f t="shared" si="51"/>
        <v>Normal</v>
      </c>
      <c r="L691">
        <f t="shared" si="52"/>
        <v>1</v>
      </c>
      <c r="M691">
        <f t="shared" si="53"/>
        <v>1</v>
      </c>
      <c r="N691" s="6">
        <f t="shared" si="54"/>
        <v>45670</v>
      </c>
    </row>
    <row r="692" spans="1:14" x14ac:dyDescent="0.3">
      <c r="A692">
        <v>291</v>
      </c>
      <c r="B692">
        <v>10000</v>
      </c>
      <c r="C692" t="s">
        <v>314</v>
      </c>
      <c r="D692" t="s">
        <v>29</v>
      </c>
      <c r="E692" t="s">
        <v>11</v>
      </c>
      <c r="F692" t="s">
        <v>12</v>
      </c>
      <c r="G692" t="s">
        <v>25</v>
      </c>
      <c r="H692">
        <v>29448.21</v>
      </c>
      <c r="I692">
        <v>0</v>
      </c>
      <c r="J692" t="str">
        <f t="shared" si="50"/>
        <v>High</v>
      </c>
      <c r="K692" t="str">
        <f t="shared" si="51"/>
        <v>Normal</v>
      </c>
      <c r="L692">
        <f t="shared" si="52"/>
        <v>1</v>
      </c>
      <c r="M692">
        <f t="shared" si="53"/>
        <v>1</v>
      </c>
      <c r="N692" s="6">
        <f t="shared" si="54"/>
        <v>45670</v>
      </c>
    </row>
    <row r="693" spans="1:14" x14ac:dyDescent="0.3">
      <c r="A693">
        <v>292</v>
      </c>
      <c r="B693">
        <v>10047</v>
      </c>
      <c r="C693" t="s">
        <v>315</v>
      </c>
      <c r="D693" t="s">
        <v>10</v>
      </c>
      <c r="E693" t="s">
        <v>11</v>
      </c>
      <c r="F693" t="s">
        <v>12</v>
      </c>
      <c r="G693" t="s">
        <v>21</v>
      </c>
      <c r="H693">
        <v>4245.7700000000004</v>
      </c>
      <c r="I693">
        <v>0</v>
      </c>
      <c r="J693" t="str">
        <f t="shared" si="50"/>
        <v>High</v>
      </c>
      <c r="K693" t="str">
        <f t="shared" si="51"/>
        <v>Normal</v>
      </c>
      <c r="L693">
        <f t="shared" si="52"/>
        <v>1</v>
      </c>
      <c r="M693">
        <f t="shared" si="53"/>
        <v>1</v>
      </c>
      <c r="N693" s="6">
        <f t="shared" si="54"/>
        <v>45670</v>
      </c>
    </row>
    <row r="694" spans="1:14" x14ac:dyDescent="0.3">
      <c r="A694">
        <v>293</v>
      </c>
      <c r="B694">
        <v>10011</v>
      </c>
      <c r="C694" t="s">
        <v>316</v>
      </c>
      <c r="D694" t="s">
        <v>10</v>
      </c>
      <c r="E694" t="s">
        <v>11</v>
      </c>
      <c r="F694" t="s">
        <v>12</v>
      </c>
      <c r="G694" t="s">
        <v>25</v>
      </c>
      <c r="H694">
        <v>63745.760000000002</v>
      </c>
      <c r="I694">
        <v>1</v>
      </c>
      <c r="J694" t="str">
        <f t="shared" si="50"/>
        <v>High</v>
      </c>
      <c r="K694" t="str">
        <f t="shared" si="51"/>
        <v>High Risk</v>
      </c>
      <c r="L694">
        <f t="shared" si="52"/>
        <v>1</v>
      </c>
      <c r="M694">
        <f t="shared" si="53"/>
        <v>1</v>
      </c>
      <c r="N694" s="6">
        <f t="shared" si="54"/>
        <v>45670</v>
      </c>
    </row>
    <row r="695" spans="1:14" x14ac:dyDescent="0.3">
      <c r="A695">
        <v>294</v>
      </c>
      <c r="B695">
        <v>10068</v>
      </c>
      <c r="C695" t="s">
        <v>317</v>
      </c>
      <c r="D695" t="s">
        <v>15</v>
      </c>
      <c r="E695" t="s">
        <v>24</v>
      </c>
      <c r="F695" t="s">
        <v>17</v>
      </c>
      <c r="G695" t="s">
        <v>18</v>
      </c>
      <c r="H695">
        <v>59769.51</v>
      </c>
      <c r="I695">
        <v>0</v>
      </c>
      <c r="J695" t="str">
        <f t="shared" si="50"/>
        <v>High</v>
      </c>
      <c r="K695" t="str">
        <f t="shared" si="51"/>
        <v>Normal</v>
      </c>
      <c r="L695">
        <f t="shared" si="52"/>
        <v>1</v>
      </c>
      <c r="M695">
        <f t="shared" si="53"/>
        <v>1</v>
      </c>
      <c r="N695" s="6">
        <f t="shared" si="54"/>
        <v>45670</v>
      </c>
    </row>
    <row r="696" spans="1:14" x14ac:dyDescent="0.3">
      <c r="A696">
        <v>295</v>
      </c>
      <c r="B696">
        <v>10036</v>
      </c>
      <c r="C696" t="s">
        <v>318</v>
      </c>
      <c r="D696" t="s">
        <v>29</v>
      </c>
      <c r="E696" t="s">
        <v>11</v>
      </c>
      <c r="F696" t="s">
        <v>17</v>
      </c>
      <c r="G696" t="s">
        <v>31</v>
      </c>
      <c r="H696">
        <v>65373.01</v>
      </c>
      <c r="I696">
        <v>1</v>
      </c>
      <c r="J696" t="str">
        <f t="shared" si="50"/>
        <v>High</v>
      </c>
      <c r="K696" t="str">
        <f t="shared" si="51"/>
        <v>High Risk</v>
      </c>
      <c r="L696">
        <f t="shared" si="52"/>
        <v>1</v>
      </c>
      <c r="M696">
        <f t="shared" si="53"/>
        <v>1</v>
      </c>
      <c r="N696" s="6">
        <f t="shared" si="54"/>
        <v>45670</v>
      </c>
    </row>
    <row r="697" spans="1:14" x14ac:dyDescent="0.3">
      <c r="A697">
        <v>296</v>
      </c>
      <c r="B697">
        <v>10031</v>
      </c>
      <c r="C697" t="s">
        <v>319</v>
      </c>
      <c r="D697" t="s">
        <v>23</v>
      </c>
      <c r="E697" t="s">
        <v>24</v>
      </c>
      <c r="F697" t="s">
        <v>12</v>
      </c>
      <c r="G697" t="s">
        <v>18</v>
      </c>
      <c r="H697">
        <v>19311.759999999998</v>
      </c>
      <c r="I697">
        <v>0</v>
      </c>
      <c r="J697" t="str">
        <f t="shared" si="50"/>
        <v>High</v>
      </c>
      <c r="K697" t="str">
        <f t="shared" si="51"/>
        <v>Normal</v>
      </c>
      <c r="L697">
        <f t="shared" si="52"/>
        <v>1</v>
      </c>
      <c r="M697">
        <f t="shared" si="53"/>
        <v>1</v>
      </c>
      <c r="N697" s="6">
        <f t="shared" si="54"/>
        <v>45670</v>
      </c>
    </row>
    <row r="698" spans="1:14" x14ac:dyDescent="0.3">
      <c r="A698">
        <v>297</v>
      </c>
      <c r="B698">
        <v>10008</v>
      </c>
      <c r="C698" t="s">
        <v>320</v>
      </c>
      <c r="D698" t="s">
        <v>29</v>
      </c>
      <c r="E698" t="s">
        <v>24</v>
      </c>
      <c r="F698" t="s">
        <v>12</v>
      </c>
      <c r="G698" t="s">
        <v>31</v>
      </c>
      <c r="H698">
        <v>29635.89</v>
      </c>
      <c r="I698">
        <v>0</v>
      </c>
      <c r="J698" t="str">
        <f t="shared" si="50"/>
        <v>High</v>
      </c>
      <c r="K698" t="str">
        <f t="shared" si="51"/>
        <v>Normal</v>
      </c>
      <c r="L698">
        <f t="shared" si="52"/>
        <v>1</v>
      </c>
      <c r="M698">
        <f t="shared" si="53"/>
        <v>1</v>
      </c>
      <c r="N698" s="6">
        <f t="shared" si="54"/>
        <v>45670</v>
      </c>
    </row>
    <row r="699" spans="1:14" x14ac:dyDescent="0.3">
      <c r="A699">
        <v>298</v>
      </c>
      <c r="B699">
        <v>10098</v>
      </c>
      <c r="C699" t="s">
        <v>321</v>
      </c>
      <c r="D699" t="s">
        <v>23</v>
      </c>
      <c r="E699" t="s">
        <v>24</v>
      </c>
      <c r="F699" t="s">
        <v>12</v>
      </c>
      <c r="G699" t="s">
        <v>18</v>
      </c>
      <c r="H699">
        <v>61999.63</v>
      </c>
      <c r="I699">
        <v>0</v>
      </c>
      <c r="J699" t="str">
        <f t="shared" si="50"/>
        <v>High</v>
      </c>
      <c r="K699" t="str">
        <f t="shared" si="51"/>
        <v>Normal</v>
      </c>
      <c r="L699">
        <f t="shared" si="52"/>
        <v>1</v>
      </c>
      <c r="M699">
        <f t="shared" si="53"/>
        <v>1</v>
      </c>
      <c r="N699" s="6">
        <f t="shared" si="54"/>
        <v>45670</v>
      </c>
    </row>
    <row r="700" spans="1:14" x14ac:dyDescent="0.3">
      <c r="A700">
        <v>299</v>
      </c>
      <c r="B700">
        <v>10018</v>
      </c>
      <c r="C700" t="s">
        <v>322</v>
      </c>
      <c r="D700" t="s">
        <v>20</v>
      </c>
      <c r="E700" t="s">
        <v>16</v>
      </c>
      <c r="F700" t="s">
        <v>12</v>
      </c>
      <c r="G700" t="s">
        <v>13</v>
      </c>
      <c r="H700">
        <v>60002.79</v>
      </c>
      <c r="I700">
        <v>0</v>
      </c>
      <c r="J700" t="str">
        <f t="shared" si="50"/>
        <v>High</v>
      </c>
      <c r="K700" t="str">
        <f t="shared" si="51"/>
        <v>Normal</v>
      </c>
      <c r="L700">
        <f t="shared" si="52"/>
        <v>1</v>
      </c>
      <c r="M700">
        <f t="shared" si="53"/>
        <v>1</v>
      </c>
      <c r="N700" s="6">
        <f t="shared" si="54"/>
        <v>45670</v>
      </c>
    </row>
    <row r="701" spans="1:14" x14ac:dyDescent="0.3">
      <c r="A701">
        <v>300</v>
      </c>
      <c r="B701">
        <v>10047</v>
      </c>
      <c r="C701" t="s">
        <v>323</v>
      </c>
      <c r="D701" t="s">
        <v>29</v>
      </c>
      <c r="E701" t="s">
        <v>11</v>
      </c>
      <c r="F701" t="s">
        <v>12</v>
      </c>
      <c r="G701" t="s">
        <v>25</v>
      </c>
      <c r="H701">
        <v>50682.400000000001</v>
      </c>
      <c r="I701">
        <v>1</v>
      </c>
      <c r="J701" t="str">
        <f t="shared" si="50"/>
        <v>High</v>
      </c>
      <c r="K701" t="str">
        <f t="shared" si="51"/>
        <v>High Risk</v>
      </c>
      <c r="L701">
        <f t="shared" si="52"/>
        <v>1</v>
      </c>
      <c r="M701">
        <f t="shared" si="53"/>
        <v>1</v>
      </c>
      <c r="N701" s="6">
        <f t="shared" si="54"/>
        <v>45670</v>
      </c>
    </row>
    <row r="702" spans="1:14" x14ac:dyDescent="0.3">
      <c r="A702">
        <v>301</v>
      </c>
      <c r="B702">
        <v>10079</v>
      </c>
      <c r="C702" t="s">
        <v>324</v>
      </c>
      <c r="D702" t="s">
        <v>20</v>
      </c>
      <c r="E702" t="s">
        <v>11</v>
      </c>
      <c r="F702" t="s">
        <v>17</v>
      </c>
      <c r="G702" t="s">
        <v>31</v>
      </c>
      <c r="H702">
        <v>35106.28</v>
      </c>
      <c r="I702">
        <v>0</v>
      </c>
      <c r="J702" t="str">
        <f t="shared" si="50"/>
        <v>High</v>
      </c>
      <c r="K702" t="str">
        <f t="shared" si="51"/>
        <v>Normal</v>
      </c>
      <c r="L702">
        <f t="shared" si="52"/>
        <v>1</v>
      </c>
      <c r="M702">
        <f t="shared" si="53"/>
        <v>1</v>
      </c>
      <c r="N702" s="6">
        <f t="shared" si="54"/>
        <v>45670</v>
      </c>
    </row>
    <row r="703" spans="1:14" x14ac:dyDescent="0.3">
      <c r="A703">
        <v>302</v>
      </c>
      <c r="B703">
        <v>10002</v>
      </c>
      <c r="C703" t="s">
        <v>325</v>
      </c>
      <c r="D703" t="s">
        <v>10</v>
      </c>
      <c r="E703" t="s">
        <v>24</v>
      </c>
      <c r="F703" t="s">
        <v>17</v>
      </c>
      <c r="G703" t="s">
        <v>21</v>
      </c>
      <c r="H703">
        <v>91301.81</v>
      </c>
      <c r="I703">
        <v>0</v>
      </c>
      <c r="J703" t="str">
        <f t="shared" si="50"/>
        <v>High</v>
      </c>
      <c r="K703" t="str">
        <f t="shared" si="51"/>
        <v>Normal</v>
      </c>
      <c r="L703">
        <f t="shared" si="52"/>
        <v>1</v>
      </c>
      <c r="M703">
        <f t="shared" si="53"/>
        <v>1</v>
      </c>
      <c r="N703" s="6">
        <f t="shared" si="54"/>
        <v>45670</v>
      </c>
    </row>
    <row r="704" spans="1:14" x14ac:dyDescent="0.3">
      <c r="A704">
        <v>303</v>
      </c>
      <c r="B704">
        <v>10019</v>
      </c>
      <c r="C704" t="s">
        <v>326</v>
      </c>
      <c r="D704" t="s">
        <v>10</v>
      </c>
      <c r="E704" t="s">
        <v>24</v>
      </c>
      <c r="F704" t="s">
        <v>17</v>
      </c>
      <c r="G704" t="s">
        <v>25</v>
      </c>
      <c r="H704">
        <v>34043.050000000003</v>
      </c>
      <c r="I704">
        <v>0</v>
      </c>
      <c r="J704" t="str">
        <f t="shared" si="50"/>
        <v>High</v>
      </c>
      <c r="K704" t="str">
        <f t="shared" si="51"/>
        <v>Normal</v>
      </c>
      <c r="L704">
        <f t="shared" si="52"/>
        <v>1</v>
      </c>
      <c r="M704">
        <f t="shared" si="53"/>
        <v>1</v>
      </c>
      <c r="N704" s="6">
        <f t="shared" si="54"/>
        <v>45670</v>
      </c>
    </row>
    <row r="705" spans="1:14" x14ac:dyDescent="0.3">
      <c r="A705">
        <v>304</v>
      </c>
      <c r="B705">
        <v>10023</v>
      </c>
      <c r="C705" t="s">
        <v>327</v>
      </c>
      <c r="D705" t="s">
        <v>15</v>
      </c>
      <c r="E705" t="s">
        <v>11</v>
      </c>
      <c r="F705" t="s">
        <v>17</v>
      </c>
      <c r="G705" t="s">
        <v>21</v>
      </c>
      <c r="H705">
        <v>45616.35</v>
      </c>
      <c r="I705">
        <v>0</v>
      </c>
      <c r="J705" t="str">
        <f t="shared" si="50"/>
        <v>High</v>
      </c>
      <c r="K705" t="str">
        <f t="shared" si="51"/>
        <v>Normal</v>
      </c>
      <c r="L705">
        <f t="shared" si="52"/>
        <v>1</v>
      </c>
      <c r="M705">
        <f t="shared" si="53"/>
        <v>1</v>
      </c>
      <c r="N705" s="6">
        <f t="shared" si="54"/>
        <v>45670</v>
      </c>
    </row>
    <row r="706" spans="1:14" x14ac:dyDescent="0.3">
      <c r="A706">
        <v>305</v>
      </c>
      <c r="B706">
        <v>10053</v>
      </c>
      <c r="C706" t="s">
        <v>328</v>
      </c>
      <c r="D706" t="s">
        <v>29</v>
      </c>
      <c r="E706" t="s">
        <v>24</v>
      </c>
      <c r="F706" t="s">
        <v>12</v>
      </c>
      <c r="G706" t="s">
        <v>25</v>
      </c>
      <c r="H706">
        <v>67843.570000000007</v>
      </c>
      <c r="I706">
        <v>0</v>
      </c>
      <c r="J706" t="str">
        <f t="shared" ref="J706:J769" si="55">IF(E706&gt;50000,"High","Normal")</f>
        <v>High</v>
      </c>
      <c r="K706" t="str">
        <f t="shared" ref="K706:K769" si="56">IF(AND(H706&gt;50000,E706="Online"),"High Risk","Normal")</f>
        <v>Normal</v>
      </c>
      <c r="L706">
        <f t="shared" ref="L706:L769" si="57">COUNTIFS(C:C,C706,B:B,B706)</f>
        <v>1</v>
      </c>
      <c r="M706">
        <f t="shared" ref="M706:M769" si="58">IF(E706&gt;50000,1,0) + IF(H706="Unusual",1,0) + IF(I706&gt;3,1,0)</f>
        <v>1</v>
      </c>
      <c r="N706" s="6">
        <f t="shared" ref="N706:N769" si="59">INT(C706)</f>
        <v>45670</v>
      </c>
    </row>
    <row r="707" spans="1:14" x14ac:dyDescent="0.3">
      <c r="A707">
        <v>306</v>
      </c>
      <c r="B707">
        <v>10032</v>
      </c>
      <c r="C707" t="s">
        <v>329</v>
      </c>
      <c r="D707" t="s">
        <v>20</v>
      </c>
      <c r="E707" t="s">
        <v>11</v>
      </c>
      <c r="F707" t="s">
        <v>17</v>
      </c>
      <c r="G707" t="s">
        <v>25</v>
      </c>
      <c r="H707">
        <v>54347.839999999997</v>
      </c>
      <c r="I707">
        <v>1</v>
      </c>
      <c r="J707" t="str">
        <f t="shared" si="55"/>
        <v>High</v>
      </c>
      <c r="K707" t="str">
        <f t="shared" si="56"/>
        <v>High Risk</v>
      </c>
      <c r="L707">
        <f t="shared" si="57"/>
        <v>1</v>
      </c>
      <c r="M707">
        <f t="shared" si="58"/>
        <v>1</v>
      </c>
      <c r="N707" s="6">
        <f t="shared" si="59"/>
        <v>45670</v>
      </c>
    </row>
    <row r="708" spans="1:14" x14ac:dyDescent="0.3">
      <c r="A708">
        <v>307</v>
      </c>
      <c r="B708">
        <v>10023</v>
      </c>
      <c r="C708" t="s">
        <v>330</v>
      </c>
      <c r="D708" t="s">
        <v>23</v>
      </c>
      <c r="E708" t="s">
        <v>16</v>
      </c>
      <c r="F708" t="s">
        <v>12</v>
      </c>
      <c r="G708" t="s">
        <v>18</v>
      </c>
      <c r="H708">
        <v>34753.910000000003</v>
      </c>
      <c r="I708">
        <v>0</v>
      </c>
      <c r="J708" t="str">
        <f t="shared" si="55"/>
        <v>High</v>
      </c>
      <c r="K708" t="str">
        <f t="shared" si="56"/>
        <v>Normal</v>
      </c>
      <c r="L708">
        <f t="shared" si="57"/>
        <v>1</v>
      </c>
      <c r="M708">
        <f t="shared" si="58"/>
        <v>1</v>
      </c>
      <c r="N708" s="6">
        <f t="shared" si="59"/>
        <v>45670</v>
      </c>
    </row>
    <row r="709" spans="1:14" x14ac:dyDescent="0.3">
      <c r="A709">
        <v>308</v>
      </c>
      <c r="B709">
        <v>10074</v>
      </c>
      <c r="C709" t="s">
        <v>331</v>
      </c>
      <c r="D709" t="s">
        <v>10</v>
      </c>
      <c r="E709" t="s">
        <v>24</v>
      </c>
      <c r="F709" t="s">
        <v>12</v>
      </c>
      <c r="G709" t="s">
        <v>31</v>
      </c>
      <c r="H709">
        <v>43620.91</v>
      </c>
      <c r="I709">
        <v>0</v>
      </c>
      <c r="J709" t="str">
        <f t="shared" si="55"/>
        <v>High</v>
      </c>
      <c r="K709" t="str">
        <f t="shared" si="56"/>
        <v>Normal</v>
      </c>
      <c r="L709">
        <f t="shared" si="57"/>
        <v>1</v>
      </c>
      <c r="M709">
        <f t="shared" si="58"/>
        <v>1</v>
      </c>
      <c r="N709" s="6">
        <f t="shared" si="59"/>
        <v>45670</v>
      </c>
    </row>
    <row r="710" spans="1:14" x14ac:dyDescent="0.3">
      <c r="A710">
        <v>309</v>
      </c>
      <c r="B710">
        <v>10071</v>
      </c>
      <c r="C710" t="s">
        <v>332</v>
      </c>
      <c r="D710" t="s">
        <v>10</v>
      </c>
      <c r="E710" t="s">
        <v>11</v>
      </c>
      <c r="F710" t="s">
        <v>12</v>
      </c>
      <c r="G710" t="s">
        <v>31</v>
      </c>
      <c r="H710">
        <v>79468.63</v>
      </c>
      <c r="I710">
        <v>1</v>
      </c>
      <c r="J710" t="str">
        <f t="shared" si="55"/>
        <v>High</v>
      </c>
      <c r="K710" t="str">
        <f t="shared" si="56"/>
        <v>High Risk</v>
      </c>
      <c r="L710">
        <f t="shared" si="57"/>
        <v>1</v>
      </c>
      <c r="M710">
        <f t="shared" si="58"/>
        <v>1</v>
      </c>
      <c r="N710" s="6">
        <f t="shared" si="59"/>
        <v>45670</v>
      </c>
    </row>
    <row r="711" spans="1:14" x14ac:dyDescent="0.3">
      <c r="A711">
        <v>310</v>
      </c>
      <c r="B711">
        <v>10035</v>
      </c>
      <c r="C711" t="s">
        <v>333</v>
      </c>
      <c r="D711" t="s">
        <v>23</v>
      </c>
      <c r="E711" t="s">
        <v>24</v>
      </c>
      <c r="F711" t="s">
        <v>17</v>
      </c>
      <c r="G711" t="s">
        <v>25</v>
      </c>
      <c r="H711">
        <v>27885.1</v>
      </c>
      <c r="I711">
        <v>0</v>
      </c>
      <c r="J711" t="str">
        <f t="shared" si="55"/>
        <v>High</v>
      </c>
      <c r="K711" t="str">
        <f t="shared" si="56"/>
        <v>Normal</v>
      </c>
      <c r="L711">
        <f t="shared" si="57"/>
        <v>1</v>
      </c>
      <c r="M711">
        <f t="shared" si="58"/>
        <v>1</v>
      </c>
      <c r="N711" s="6">
        <f t="shared" si="59"/>
        <v>45670</v>
      </c>
    </row>
    <row r="712" spans="1:14" x14ac:dyDescent="0.3">
      <c r="A712">
        <v>311</v>
      </c>
      <c r="B712">
        <v>10037</v>
      </c>
      <c r="C712" t="s">
        <v>334</v>
      </c>
      <c r="D712" t="s">
        <v>20</v>
      </c>
      <c r="E712" t="s">
        <v>11</v>
      </c>
      <c r="F712" t="s">
        <v>12</v>
      </c>
      <c r="G712" t="s">
        <v>13</v>
      </c>
      <c r="H712">
        <v>14311.3</v>
      </c>
      <c r="I712">
        <v>0</v>
      </c>
      <c r="J712" t="str">
        <f t="shared" si="55"/>
        <v>High</v>
      </c>
      <c r="K712" t="str">
        <f t="shared" si="56"/>
        <v>Normal</v>
      </c>
      <c r="L712">
        <f t="shared" si="57"/>
        <v>1</v>
      </c>
      <c r="M712">
        <f t="shared" si="58"/>
        <v>1</v>
      </c>
      <c r="N712" s="6">
        <f t="shared" si="59"/>
        <v>45670</v>
      </c>
    </row>
    <row r="713" spans="1:14" x14ac:dyDescent="0.3">
      <c r="A713">
        <v>312</v>
      </c>
      <c r="B713">
        <v>10083</v>
      </c>
      <c r="C713" t="s">
        <v>335</v>
      </c>
      <c r="D713" t="s">
        <v>20</v>
      </c>
      <c r="E713" t="s">
        <v>11</v>
      </c>
      <c r="F713" t="s">
        <v>17</v>
      </c>
      <c r="G713" t="s">
        <v>13</v>
      </c>
      <c r="H713">
        <v>31385</v>
      </c>
      <c r="I713">
        <v>0</v>
      </c>
      <c r="J713" t="str">
        <f t="shared" si="55"/>
        <v>High</v>
      </c>
      <c r="K713" t="str">
        <f t="shared" si="56"/>
        <v>Normal</v>
      </c>
      <c r="L713">
        <f t="shared" si="57"/>
        <v>1</v>
      </c>
      <c r="M713">
        <f t="shared" si="58"/>
        <v>1</v>
      </c>
      <c r="N713" s="6">
        <f t="shared" si="59"/>
        <v>45670</v>
      </c>
    </row>
    <row r="714" spans="1:14" x14ac:dyDescent="0.3">
      <c r="A714">
        <v>265</v>
      </c>
      <c r="B714">
        <v>10066</v>
      </c>
      <c r="C714" t="s">
        <v>288</v>
      </c>
      <c r="D714" t="s">
        <v>10</v>
      </c>
      <c r="E714" t="s">
        <v>11</v>
      </c>
      <c r="F714" t="s">
        <v>12</v>
      </c>
      <c r="G714" t="s">
        <v>18</v>
      </c>
      <c r="H714">
        <v>33667.11</v>
      </c>
      <c r="I714">
        <v>0</v>
      </c>
      <c r="J714" t="str">
        <f t="shared" si="55"/>
        <v>High</v>
      </c>
      <c r="K714" t="str">
        <f t="shared" si="56"/>
        <v>Normal</v>
      </c>
      <c r="L714">
        <f t="shared" si="57"/>
        <v>1</v>
      </c>
      <c r="M714">
        <f t="shared" si="58"/>
        <v>1</v>
      </c>
      <c r="N714" s="6">
        <f t="shared" si="59"/>
        <v>45669</v>
      </c>
    </row>
    <row r="715" spans="1:14" x14ac:dyDescent="0.3">
      <c r="A715">
        <v>266</v>
      </c>
      <c r="B715">
        <v>10018</v>
      </c>
      <c r="C715" t="s">
        <v>289</v>
      </c>
      <c r="D715" t="s">
        <v>10</v>
      </c>
      <c r="E715" t="s">
        <v>16</v>
      </c>
      <c r="F715" t="s">
        <v>12</v>
      </c>
      <c r="G715" t="s">
        <v>13</v>
      </c>
      <c r="H715">
        <v>46621.69</v>
      </c>
      <c r="I715">
        <v>0</v>
      </c>
      <c r="J715" t="str">
        <f t="shared" si="55"/>
        <v>High</v>
      </c>
      <c r="K715" t="str">
        <f t="shared" si="56"/>
        <v>Normal</v>
      </c>
      <c r="L715">
        <f t="shared" si="57"/>
        <v>1</v>
      </c>
      <c r="M715">
        <f t="shared" si="58"/>
        <v>1</v>
      </c>
      <c r="N715" s="6">
        <f t="shared" si="59"/>
        <v>45669</v>
      </c>
    </row>
    <row r="716" spans="1:14" x14ac:dyDescent="0.3">
      <c r="A716">
        <v>267</v>
      </c>
      <c r="B716">
        <v>10019</v>
      </c>
      <c r="C716" t="s">
        <v>290</v>
      </c>
      <c r="D716" t="s">
        <v>23</v>
      </c>
      <c r="E716" t="s">
        <v>24</v>
      </c>
      <c r="F716" t="s">
        <v>12</v>
      </c>
      <c r="G716" t="s">
        <v>21</v>
      </c>
      <c r="H716">
        <v>77360.77</v>
      </c>
      <c r="I716">
        <v>0</v>
      </c>
      <c r="J716" t="str">
        <f t="shared" si="55"/>
        <v>High</v>
      </c>
      <c r="K716" t="str">
        <f t="shared" si="56"/>
        <v>Normal</v>
      </c>
      <c r="L716">
        <f t="shared" si="57"/>
        <v>1</v>
      </c>
      <c r="M716">
        <f t="shared" si="58"/>
        <v>1</v>
      </c>
      <c r="N716" s="6">
        <f t="shared" si="59"/>
        <v>45669</v>
      </c>
    </row>
    <row r="717" spans="1:14" x14ac:dyDescent="0.3">
      <c r="A717">
        <v>268</v>
      </c>
      <c r="B717">
        <v>10095</v>
      </c>
      <c r="C717" t="s">
        <v>291</v>
      </c>
      <c r="D717" t="s">
        <v>10</v>
      </c>
      <c r="E717" t="s">
        <v>16</v>
      </c>
      <c r="F717" t="s">
        <v>12</v>
      </c>
      <c r="G717" t="s">
        <v>18</v>
      </c>
      <c r="H717">
        <v>91505.09</v>
      </c>
      <c r="I717">
        <v>0</v>
      </c>
      <c r="J717" t="str">
        <f t="shared" si="55"/>
        <v>High</v>
      </c>
      <c r="K717" t="str">
        <f t="shared" si="56"/>
        <v>Normal</v>
      </c>
      <c r="L717">
        <f t="shared" si="57"/>
        <v>1</v>
      </c>
      <c r="M717">
        <f t="shared" si="58"/>
        <v>1</v>
      </c>
      <c r="N717" s="6">
        <f t="shared" si="59"/>
        <v>45669</v>
      </c>
    </row>
    <row r="718" spans="1:14" x14ac:dyDescent="0.3">
      <c r="A718">
        <v>269</v>
      </c>
      <c r="B718">
        <v>10070</v>
      </c>
      <c r="C718" t="s">
        <v>292</v>
      </c>
      <c r="D718" t="s">
        <v>20</v>
      </c>
      <c r="E718" t="s">
        <v>24</v>
      </c>
      <c r="F718" t="s">
        <v>12</v>
      </c>
      <c r="G718" t="s">
        <v>13</v>
      </c>
      <c r="H718">
        <v>18995</v>
      </c>
      <c r="I718">
        <v>0</v>
      </c>
      <c r="J718" t="str">
        <f t="shared" si="55"/>
        <v>High</v>
      </c>
      <c r="K718" t="str">
        <f t="shared" si="56"/>
        <v>Normal</v>
      </c>
      <c r="L718">
        <f t="shared" si="57"/>
        <v>1</v>
      </c>
      <c r="M718">
        <f t="shared" si="58"/>
        <v>1</v>
      </c>
      <c r="N718" s="6">
        <f t="shared" si="59"/>
        <v>45669</v>
      </c>
    </row>
    <row r="719" spans="1:14" x14ac:dyDescent="0.3">
      <c r="A719">
        <v>270</v>
      </c>
      <c r="B719">
        <v>10051</v>
      </c>
      <c r="C719" t="s">
        <v>293</v>
      </c>
      <c r="D719" t="s">
        <v>15</v>
      </c>
      <c r="E719" t="s">
        <v>24</v>
      </c>
      <c r="F719" t="s">
        <v>17</v>
      </c>
      <c r="G719" t="s">
        <v>31</v>
      </c>
      <c r="H719">
        <v>92244.51</v>
      </c>
      <c r="I719">
        <v>0</v>
      </c>
      <c r="J719" t="str">
        <f t="shared" si="55"/>
        <v>High</v>
      </c>
      <c r="K719" t="str">
        <f t="shared" si="56"/>
        <v>Normal</v>
      </c>
      <c r="L719">
        <f t="shared" si="57"/>
        <v>1</v>
      </c>
      <c r="M719">
        <f t="shared" si="58"/>
        <v>1</v>
      </c>
      <c r="N719" s="6">
        <f t="shared" si="59"/>
        <v>45669</v>
      </c>
    </row>
    <row r="720" spans="1:14" x14ac:dyDescent="0.3">
      <c r="A720">
        <v>271</v>
      </c>
      <c r="B720">
        <v>10032</v>
      </c>
      <c r="C720" t="s">
        <v>294</v>
      </c>
      <c r="D720" t="s">
        <v>20</v>
      </c>
      <c r="E720" t="s">
        <v>24</v>
      </c>
      <c r="F720" t="s">
        <v>17</v>
      </c>
      <c r="G720" t="s">
        <v>18</v>
      </c>
      <c r="H720">
        <v>69592.899999999994</v>
      </c>
      <c r="I720">
        <v>0</v>
      </c>
      <c r="J720" t="str">
        <f t="shared" si="55"/>
        <v>High</v>
      </c>
      <c r="K720" t="str">
        <f t="shared" si="56"/>
        <v>Normal</v>
      </c>
      <c r="L720">
        <f t="shared" si="57"/>
        <v>1</v>
      </c>
      <c r="M720">
        <f t="shared" si="58"/>
        <v>1</v>
      </c>
      <c r="N720" s="6">
        <f t="shared" si="59"/>
        <v>45669</v>
      </c>
    </row>
    <row r="721" spans="1:14" x14ac:dyDescent="0.3">
      <c r="A721">
        <v>272</v>
      </c>
      <c r="B721">
        <v>10039</v>
      </c>
      <c r="C721" t="s">
        <v>295</v>
      </c>
      <c r="D721" t="s">
        <v>10</v>
      </c>
      <c r="E721" t="s">
        <v>11</v>
      </c>
      <c r="F721" t="s">
        <v>17</v>
      </c>
      <c r="G721" t="s">
        <v>18</v>
      </c>
      <c r="H721">
        <v>61116</v>
      </c>
      <c r="I721">
        <v>1</v>
      </c>
      <c r="J721" t="str">
        <f t="shared" si="55"/>
        <v>High</v>
      </c>
      <c r="K721" t="str">
        <f t="shared" si="56"/>
        <v>High Risk</v>
      </c>
      <c r="L721">
        <f t="shared" si="57"/>
        <v>1</v>
      </c>
      <c r="M721">
        <f t="shared" si="58"/>
        <v>1</v>
      </c>
      <c r="N721" s="6">
        <f t="shared" si="59"/>
        <v>45669</v>
      </c>
    </row>
    <row r="722" spans="1:14" x14ac:dyDescent="0.3">
      <c r="A722">
        <v>273</v>
      </c>
      <c r="B722">
        <v>10038</v>
      </c>
      <c r="C722" t="s">
        <v>296</v>
      </c>
      <c r="D722" t="s">
        <v>29</v>
      </c>
      <c r="E722" t="s">
        <v>11</v>
      </c>
      <c r="F722" t="s">
        <v>17</v>
      </c>
      <c r="G722" t="s">
        <v>25</v>
      </c>
      <c r="H722">
        <v>20064.14</v>
      </c>
      <c r="I722">
        <v>0</v>
      </c>
      <c r="J722" t="str">
        <f t="shared" si="55"/>
        <v>High</v>
      </c>
      <c r="K722" t="str">
        <f t="shared" si="56"/>
        <v>Normal</v>
      </c>
      <c r="L722">
        <f t="shared" si="57"/>
        <v>1</v>
      </c>
      <c r="M722">
        <f t="shared" si="58"/>
        <v>1</v>
      </c>
      <c r="N722" s="6">
        <f t="shared" si="59"/>
        <v>45669</v>
      </c>
    </row>
    <row r="723" spans="1:14" x14ac:dyDescent="0.3">
      <c r="A723">
        <v>274</v>
      </c>
      <c r="B723">
        <v>10081</v>
      </c>
      <c r="C723" t="s">
        <v>297</v>
      </c>
      <c r="D723" t="s">
        <v>15</v>
      </c>
      <c r="E723" t="s">
        <v>11</v>
      </c>
      <c r="F723" t="s">
        <v>12</v>
      </c>
      <c r="G723" t="s">
        <v>31</v>
      </c>
      <c r="H723">
        <v>5646.95</v>
      </c>
      <c r="I723">
        <v>0</v>
      </c>
      <c r="J723" t="str">
        <f t="shared" si="55"/>
        <v>High</v>
      </c>
      <c r="K723" t="str">
        <f t="shared" si="56"/>
        <v>Normal</v>
      </c>
      <c r="L723">
        <f t="shared" si="57"/>
        <v>1</v>
      </c>
      <c r="M723">
        <f t="shared" si="58"/>
        <v>1</v>
      </c>
      <c r="N723" s="6">
        <f t="shared" si="59"/>
        <v>45669</v>
      </c>
    </row>
    <row r="724" spans="1:14" x14ac:dyDescent="0.3">
      <c r="A724">
        <v>275</v>
      </c>
      <c r="B724">
        <v>10000</v>
      </c>
      <c r="C724" t="s">
        <v>298</v>
      </c>
      <c r="D724" t="s">
        <v>15</v>
      </c>
      <c r="E724" t="s">
        <v>16</v>
      </c>
      <c r="F724" t="s">
        <v>12</v>
      </c>
      <c r="G724" t="s">
        <v>21</v>
      </c>
      <c r="H724">
        <v>56889.64</v>
      </c>
      <c r="I724">
        <v>0</v>
      </c>
      <c r="J724" t="str">
        <f t="shared" si="55"/>
        <v>High</v>
      </c>
      <c r="K724" t="str">
        <f t="shared" si="56"/>
        <v>Normal</v>
      </c>
      <c r="L724">
        <f t="shared" si="57"/>
        <v>1</v>
      </c>
      <c r="M724">
        <f t="shared" si="58"/>
        <v>1</v>
      </c>
      <c r="N724" s="6">
        <f t="shared" si="59"/>
        <v>45669</v>
      </c>
    </row>
    <row r="725" spans="1:14" x14ac:dyDescent="0.3">
      <c r="A725">
        <v>276</v>
      </c>
      <c r="B725">
        <v>10010</v>
      </c>
      <c r="C725" t="s">
        <v>299</v>
      </c>
      <c r="D725" t="s">
        <v>23</v>
      </c>
      <c r="E725" t="s">
        <v>16</v>
      </c>
      <c r="F725" t="s">
        <v>17</v>
      </c>
      <c r="G725" t="s">
        <v>13</v>
      </c>
      <c r="H725">
        <v>65186.42</v>
      </c>
      <c r="I725">
        <v>0</v>
      </c>
      <c r="J725" t="str">
        <f t="shared" si="55"/>
        <v>High</v>
      </c>
      <c r="K725" t="str">
        <f t="shared" si="56"/>
        <v>Normal</v>
      </c>
      <c r="L725">
        <f t="shared" si="57"/>
        <v>1</v>
      </c>
      <c r="M725">
        <f t="shared" si="58"/>
        <v>1</v>
      </c>
      <c r="N725" s="6">
        <f t="shared" si="59"/>
        <v>45669</v>
      </c>
    </row>
    <row r="726" spans="1:14" x14ac:dyDescent="0.3">
      <c r="A726">
        <v>277</v>
      </c>
      <c r="B726">
        <v>10091</v>
      </c>
      <c r="C726" t="s">
        <v>300</v>
      </c>
      <c r="D726" t="s">
        <v>23</v>
      </c>
      <c r="E726" t="s">
        <v>11</v>
      </c>
      <c r="F726" t="s">
        <v>12</v>
      </c>
      <c r="G726" t="s">
        <v>25</v>
      </c>
      <c r="H726">
        <v>21157.07</v>
      </c>
      <c r="I726">
        <v>0</v>
      </c>
      <c r="J726" t="str">
        <f t="shared" si="55"/>
        <v>High</v>
      </c>
      <c r="K726" t="str">
        <f t="shared" si="56"/>
        <v>Normal</v>
      </c>
      <c r="L726">
        <f t="shared" si="57"/>
        <v>1</v>
      </c>
      <c r="M726">
        <f t="shared" si="58"/>
        <v>1</v>
      </c>
      <c r="N726" s="6">
        <f t="shared" si="59"/>
        <v>45669</v>
      </c>
    </row>
    <row r="727" spans="1:14" x14ac:dyDescent="0.3">
      <c r="A727">
        <v>278</v>
      </c>
      <c r="B727">
        <v>10056</v>
      </c>
      <c r="C727" t="s">
        <v>301</v>
      </c>
      <c r="D727" t="s">
        <v>29</v>
      </c>
      <c r="E727" t="s">
        <v>16</v>
      </c>
      <c r="F727" t="s">
        <v>12</v>
      </c>
      <c r="G727" t="s">
        <v>13</v>
      </c>
      <c r="H727">
        <v>55689.97</v>
      </c>
      <c r="I727">
        <v>0</v>
      </c>
      <c r="J727" t="str">
        <f t="shared" si="55"/>
        <v>High</v>
      </c>
      <c r="K727" t="str">
        <f t="shared" si="56"/>
        <v>Normal</v>
      </c>
      <c r="L727">
        <f t="shared" si="57"/>
        <v>1</v>
      </c>
      <c r="M727">
        <f t="shared" si="58"/>
        <v>1</v>
      </c>
      <c r="N727" s="6">
        <f t="shared" si="59"/>
        <v>45669</v>
      </c>
    </row>
    <row r="728" spans="1:14" x14ac:dyDescent="0.3">
      <c r="A728">
        <v>279</v>
      </c>
      <c r="B728">
        <v>10088</v>
      </c>
      <c r="C728" t="s">
        <v>302</v>
      </c>
      <c r="D728" t="s">
        <v>15</v>
      </c>
      <c r="E728" t="s">
        <v>24</v>
      </c>
      <c r="F728" t="s">
        <v>17</v>
      </c>
      <c r="G728" t="s">
        <v>21</v>
      </c>
      <c r="H728">
        <v>85663.69</v>
      </c>
      <c r="I728">
        <v>0</v>
      </c>
      <c r="J728" t="str">
        <f t="shared" si="55"/>
        <v>High</v>
      </c>
      <c r="K728" t="str">
        <f t="shared" si="56"/>
        <v>Normal</v>
      </c>
      <c r="L728">
        <f t="shared" si="57"/>
        <v>1</v>
      </c>
      <c r="M728">
        <f t="shared" si="58"/>
        <v>1</v>
      </c>
      <c r="N728" s="6">
        <f t="shared" si="59"/>
        <v>45669</v>
      </c>
    </row>
    <row r="729" spans="1:14" x14ac:dyDescent="0.3">
      <c r="A729">
        <v>280</v>
      </c>
      <c r="B729">
        <v>10049</v>
      </c>
      <c r="C729" t="s">
        <v>303</v>
      </c>
      <c r="D729" t="s">
        <v>29</v>
      </c>
      <c r="E729" t="s">
        <v>24</v>
      </c>
      <c r="F729" t="s">
        <v>17</v>
      </c>
      <c r="G729" t="s">
        <v>21</v>
      </c>
      <c r="H729">
        <v>83523.09</v>
      </c>
      <c r="I729">
        <v>0</v>
      </c>
      <c r="J729" t="str">
        <f t="shared" si="55"/>
        <v>High</v>
      </c>
      <c r="K729" t="str">
        <f t="shared" si="56"/>
        <v>Normal</v>
      </c>
      <c r="L729">
        <f t="shared" si="57"/>
        <v>1</v>
      </c>
      <c r="M729">
        <f t="shared" si="58"/>
        <v>1</v>
      </c>
      <c r="N729" s="6">
        <f t="shared" si="59"/>
        <v>45669</v>
      </c>
    </row>
    <row r="730" spans="1:14" x14ac:dyDescent="0.3">
      <c r="A730">
        <v>281</v>
      </c>
      <c r="B730">
        <v>10022</v>
      </c>
      <c r="C730" t="s">
        <v>304</v>
      </c>
      <c r="D730" t="s">
        <v>23</v>
      </c>
      <c r="E730" t="s">
        <v>24</v>
      </c>
      <c r="F730" t="s">
        <v>12</v>
      </c>
      <c r="G730" t="s">
        <v>18</v>
      </c>
      <c r="H730">
        <v>92742.78</v>
      </c>
      <c r="I730">
        <v>0</v>
      </c>
      <c r="J730" t="str">
        <f t="shared" si="55"/>
        <v>High</v>
      </c>
      <c r="K730" t="str">
        <f t="shared" si="56"/>
        <v>Normal</v>
      </c>
      <c r="L730">
        <f t="shared" si="57"/>
        <v>1</v>
      </c>
      <c r="M730">
        <f t="shared" si="58"/>
        <v>1</v>
      </c>
      <c r="N730" s="6">
        <f t="shared" si="59"/>
        <v>45669</v>
      </c>
    </row>
    <row r="731" spans="1:14" x14ac:dyDescent="0.3">
      <c r="A731">
        <v>282</v>
      </c>
      <c r="B731">
        <v>10030</v>
      </c>
      <c r="C731" t="s">
        <v>305</v>
      </c>
      <c r="D731" t="s">
        <v>23</v>
      </c>
      <c r="E731" t="s">
        <v>11</v>
      </c>
      <c r="F731" t="s">
        <v>12</v>
      </c>
      <c r="G731" t="s">
        <v>21</v>
      </c>
      <c r="H731">
        <v>36651.99</v>
      </c>
      <c r="I731">
        <v>0</v>
      </c>
      <c r="J731" t="str">
        <f t="shared" si="55"/>
        <v>High</v>
      </c>
      <c r="K731" t="str">
        <f t="shared" si="56"/>
        <v>Normal</v>
      </c>
      <c r="L731">
        <f t="shared" si="57"/>
        <v>1</v>
      </c>
      <c r="M731">
        <f t="shared" si="58"/>
        <v>1</v>
      </c>
      <c r="N731" s="6">
        <f t="shared" si="59"/>
        <v>45669</v>
      </c>
    </row>
    <row r="732" spans="1:14" x14ac:dyDescent="0.3">
      <c r="A732">
        <v>283</v>
      </c>
      <c r="B732">
        <v>10093</v>
      </c>
      <c r="C732" t="s">
        <v>306</v>
      </c>
      <c r="D732" t="s">
        <v>15</v>
      </c>
      <c r="E732" t="s">
        <v>16</v>
      </c>
      <c r="F732" t="s">
        <v>17</v>
      </c>
      <c r="G732" t="s">
        <v>13</v>
      </c>
      <c r="H732">
        <v>31873.15</v>
      </c>
      <c r="I732">
        <v>0</v>
      </c>
      <c r="J732" t="str">
        <f t="shared" si="55"/>
        <v>High</v>
      </c>
      <c r="K732" t="str">
        <f t="shared" si="56"/>
        <v>Normal</v>
      </c>
      <c r="L732">
        <f t="shared" si="57"/>
        <v>1</v>
      </c>
      <c r="M732">
        <f t="shared" si="58"/>
        <v>1</v>
      </c>
      <c r="N732" s="6">
        <f t="shared" si="59"/>
        <v>45669</v>
      </c>
    </row>
    <row r="733" spans="1:14" x14ac:dyDescent="0.3">
      <c r="A733">
        <v>284</v>
      </c>
      <c r="B733">
        <v>10041</v>
      </c>
      <c r="C733" t="s">
        <v>307</v>
      </c>
      <c r="D733" t="s">
        <v>20</v>
      </c>
      <c r="E733" t="s">
        <v>11</v>
      </c>
      <c r="F733" t="s">
        <v>17</v>
      </c>
      <c r="G733" t="s">
        <v>31</v>
      </c>
      <c r="H733">
        <v>74967.66</v>
      </c>
      <c r="I733">
        <v>1</v>
      </c>
      <c r="J733" t="str">
        <f t="shared" si="55"/>
        <v>High</v>
      </c>
      <c r="K733" t="str">
        <f t="shared" si="56"/>
        <v>High Risk</v>
      </c>
      <c r="L733">
        <f t="shared" si="57"/>
        <v>1</v>
      </c>
      <c r="M733">
        <f t="shared" si="58"/>
        <v>1</v>
      </c>
      <c r="N733" s="6">
        <f t="shared" si="59"/>
        <v>45669</v>
      </c>
    </row>
    <row r="734" spans="1:14" x14ac:dyDescent="0.3">
      <c r="A734">
        <v>285</v>
      </c>
      <c r="B734">
        <v>10098</v>
      </c>
      <c r="C734" t="s">
        <v>308</v>
      </c>
      <c r="D734" t="s">
        <v>10</v>
      </c>
      <c r="E734" t="s">
        <v>16</v>
      </c>
      <c r="F734" t="s">
        <v>17</v>
      </c>
      <c r="G734" t="s">
        <v>31</v>
      </c>
      <c r="H734">
        <v>43168.13</v>
      </c>
      <c r="I734">
        <v>0</v>
      </c>
      <c r="J734" t="str">
        <f t="shared" si="55"/>
        <v>High</v>
      </c>
      <c r="K734" t="str">
        <f t="shared" si="56"/>
        <v>Normal</v>
      </c>
      <c r="L734">
        <f t="shared" si="57"/>
        <v>1</v>
      </c>
      <c r="M734">
        <f t="shared" si="58"/>
        <v>1</v>
      </c>
      <c r="N734" s="6">
        <f t="shared" si="59"/>
        <v>45669</v>
      </c>
    </row>
    <row r="735" spans="1:14" x14ac:dyDescent="0.3">
      <c r="A735">
        <v>286</v>
      </c>
      <c r="B735">
        <v>10006</v>
      </c>
      <c r="C735" t="s">
        <v>309</v>
      </c>
      <c r="D735" t="s">
        <v>23</v>
      </c>
      <c r="E735" t="s">
        <v>24</v>
      </c>
      <c r="F735" t="s">
        <v>12</v>
      </c>
      <c r="G735" t="s">
        <v>18</v>
      </c>
      <c r="H735">
        <v>8846.11</v>
      </c>
      <c r="I735">
        <v>0</v>
      </c>
      <c r="J735" t="str">
        <f t="shared" si="55"/>
        <v>High</v>
      </c>
      <c r="K735" t="str">
        <f t="shared" si="56"/>
        <v>Normal</v>
      </c>
      <c r="L735">
        <f t="shared" si="57"/>
        <v>1</v>
      </c>
      <c r="M735">
        <f t="shared" si="58"/>
        <v>1</v>
      </c>
      <c r="N735" s="6">
        <f t="shared" si="59"/>
        <v>45669</v>
      </c>
    </row>
    <row r="736" spans="1:14" x14ac:dyDescent="0.3">
      <c r="A736">
        <v>287</v>
      </c>
      <c r="B736">
        <v>10015</v>
      </c>
      <c r="C736" t="s">
        <v>310</v>
      </c>
      <c r="D736" t="s">
        <v>23</v>
      </c>
      <c r="E736" t="s">
        <v>11</v>
      </c>
      <c r="F736" t="s">
        <v>17</v>
      </c>
      <c r="G736" t="s">
        <v>13</v>
      </c>
      <c r="H736">
        <v>28351.83</v>
      </c>
      <c r="I736">
        <v>0</v>
      </c>
      <c r="J736" t="str">
        <f t="shared" si="55"/>
        <v>High</v>
      </c>
      <c r="K736" t="str">
        <f t="shared" si="56"/>
        <v>Normal</v>
      </c>
      <c r="L736">
        <f t="shared" si="57"/>
        <v>1</v>
      </c>
      <c r="M736">
        <f t="shared" si="58"/>
        <v>1</v>
      </c>
      <c r="N736" s="6">
        <f t="shared" si="59"/>
        <v>45669</v>
      </c>
    </row>
    <row r="737" spans="1:14" x14ac:dyDescent="0.3">
      <c r="A737">
        <v>288</v>
      </c>
      <c r="B737">
        <v>10089</v>
      </c>
      <c r="C737" t="s">
        <v>311</v>
      </c>
      <c r="D737" t="s">
        <v>20</v>
      </c>
      <c r="E737" t="s">
        <v>16</v>
      </c>
      <c r="F737" t="s">
        <v>17</v>
      </c>
      <c r="G737" t="s">
        <v>13</v>
      </c>
      <c r="H737">
        <v>41916.370000000003</v>
      </c>
      <c r="I737">
        <v>0</v>
      </c>
      <c r="J737" t="str">
        <f t="shared" si="55"/>
        <v>High</v>
      </c>
      <c r="K737" t="str">
        <f t="shared" si="56"/>
        <v>Normal</v>
      </c>
      <c r="L737">
        <f t="shared" si="57"/>
        <v>1</v>
      </c>
      <c r="M737">
        <f t="shared" si="58"/>
        <v>1</v>
      </c>
      <c r="N737" s="6">
        <f t="shared" si="59"/>
        <v>45669</v>
      </c>
    </row>
    <row r="738" spans="1:14" x14ac:dyDescent="0.3">
      <c r="A738">
        <v>241</v>
      </c>
      <c r="B738">
        <v>10054</v>
      </c>
      <c r="C738" t="s">
        <v>264</v>
      </c>
      <c r="D738" t="s">
        <v>15</v>
      </c>
      <c r="E738" t="s">
        <v>11</v>
      </c>
      <c r="F738" t="s">
        <v>17</v>
      </c>
      <c r="G738" t="s">
        <v>25</v>
      </c>
      <c r="H738">
        <v>76066.39</v>
      </c>
      <c r="I738">
        <v>1</v>
      </c>
      <c r="J738" t="str">
        <f t="shared" si="55"/>
        <v>High</v>
      </c>
      <c r="K738" t="str">
        <f t="shared" si="56"/>
        <v>High Risk</v>
      </c>
      <c r="L738">
        <f t="shared" si="57"/>
        <v>1</v>
      </c>
      <c r="M738">
        <f t="shared" si="58"/>
        <v>1</v>
      </c>
      <c r="N738" s="6">
        <f t="shared" si="59"/>
        <v>45668</v>
      </c>
    </row>
    <row r="739" spans="1:14" x14ac:dyDescent="0.3">
      <c r="A739">
        <v>242</v>
      </c>
      <c r="B739">
        <v>10074</v>
      </c>
      <c r="C739" t="s">
        <v>265</v>
      </c>
      <c r="D739" t="s">
        <v>15</v>
      </c>
      <c r="E739" t="s">
        <v>16</v>
      </c>
      <c r="F739" t="s">
        <v>17</v>
      </c>
      <c r="G739" t="s">
        <v>31</v>
      </c>
      <c r="H739">
        <v>51340.92</v>
      </c>
      <c r="I739">
        <v>0</v>
      </c>
      <c r="J739" t="str">
        <f t="shared" si="55"/>
        <v>High</v>
      </c>
      <c r="K739" t="str">
        <f t="shared" si="56"/>
        <v>Normal</v>
      </c>
      <c r="L739">
        <f t="shared" si="57"/>
        <v>1</v>
      </c>
      <c r="M739">
        <f t="shared" si="58"/>
        <v>1</v>
      </c>
      <c r="N739" s="6">
        <f t="shared" si="59"/>
        <v>45668</v>
      </c>
    </row>
    <row r="740" spans="1:14" x14ac:dyDescent="0.3">
      <c r="A740">
        <v>243</v>
      </c>
      <c r="B740">
        <v>10055</v>
      </c>
      <c r="C740" t="s">
        <v>266</v>
      </c>
      <c r="D740" t="s">
        <v>29</v>
      </c>
      <c r="E740" t="s">
        <v>24</v>
      </c>
      <c r="F740" t="s">
        <v>12</v>
      </c>
      <c r="G740" t="s">
        <v>21</v>
      </c>
      <c r="H740">
        <v>70437.919999999998</v>
      </c>
      <c r="I740">
        <v>0</v>
      </c>
      <c r="J740" t="str">
        <f t="shared" si="55"/>
        <v>High</v>
      </c>
      <c r="K740" t="str">
        <f t="shared" si="56"/>
        <v>Normal</v>
      </c>
      <c r="L740">
        <f t="shared" si="57"/>
        <v>1</v>
      </c>
      <c r="M740">
        <f t="shared" si="58"/>
        <v>1</v>
      </c>
      <c r="N740" s="6">
        <f t="shared" si="59"/>
        <v>45668</v>
      </c>
    </row>
    <row r="741" spans="1:14" x14ac:dyDescent="0.3">
      <c r="A741">
        <v>244</v>
      </c>
      <c r="B741">
        <v>10016</v>
      </c>
      <c r="C741" t="s">
        <v>267</v>
      </c>
      <c r="D741" t="s">
        <v>23</v>
      </c>
      <c r="E741" t="s">
        <v>11</v>
      </c>
      <c r="F741" t="s">
        <v>12</v>
      </c>
      <c r="G741" t="s">
        <v>13</v>
      </c>
      <c r="H741">
        <v>93523.69</v>
      </c>
      <c r="I741">
        <v>1</v>
      </c>
      <c r="J741" t="str">
        <f t="shared" si="55"/>
        <v>High</v>
      </c>
      <c r="K741" t="str">
        <f t="shared" si="56"/>
        <v>High Risk</v>
      </c>
      <c r="L741">
        <f t="shared" si="57"/>
        <v>1</v>
      </c>
      <c r="M741">
        <f t="shared" si="58"/>
        <v>1</v>
      </c>
      <c r="N741" s="6">
        <f t="shared" si="59"/>
        <v>45668</v>
      </c>
    </row>
    <row r="742" spans="1:14" x14ac:dyDescent="0.3">
      <c r="A742">
        <v>245</v>
      </c>
      <c r="B742">
        <v>10037</v>
      </c>
      <c r="C742" t="s">
        <v>268</v>
      </c>
      <c r="D742" t="s">
        <v>23</v>
      </c>
      <c r="E742" t="s">
        <v>16</v>
      </c>
      <c r="F742" t="s">
        <v>17</v>
      </c>
      <c r="G742" t="s">
        <v>21</v>
      </c>
      <c r="H742">
        <v>37642.92</v>
      </c>
      <c r="I742">
        <v>0</v>
      </c>
      <c r="J742" t="str">
        <f t="shared" si="55"/>
        <v>High</v>
      </c>
      <c r="K742" t="str">
        <f t="shared" si="56"/>
        <v>Normal</v>
      </c>
      <c r="L742">
        <f t="shared" si="57"/>
        <v>1</v>
      </c>
      <c r="M742">
        <f t="shared" si="58"/>
        <v>1</v>
      </c>
      <c r="N742" s="6">
        <f t="shared" si="59"/>
        <v>45668</v>
      </c>
    </row>
    <row r="743" spans="1:14" x14ac:dyDescent="0.3">
      <c r="A743">
        <v>246</v>
      </c>
      <c r="B743">
        <v>10023</v>
      </c>
      <c r="C743" t="s">
        <v>269</v>
      </c>
      <c r="D743" t="s">
        <v>23</v>
      </c>
      <c r="E743" t="s">
        <v>11</v>
      </c>
      <c r="F743" t="s">
        <v>17</v>
      </c>
      <c r="G743" t="s">
        <v>13</v>
      </c>
      <c r="H743">
        <v>70841.37</v>
      </c>
      <c r="I743">
        <v>1</v>
      </c>
      <c r="J743" t="str">
        <f t="shared" si="55"/>
        <v>High</v>
      </c>
      <c r="K743" t="str">
        <f t="shared" si="56"/>
        <v>High Risk</v>
      </c>
      <c r="L743">
        <f t="shared" si="57"/>
        <v>1</v>
      </c>
      <c r="M743">
        <f t="shared" si="58"/>
        <v>1</v>
      </c>
      <c r="N743" s="6">
        <f t="shared" si="59"/>
        <v>45668</v>
      </c>
    </row>
    <row r="744" spans="1:14" x14ac:dyDescent="0.3">
      <c r="A744">
        <v>247</v>
      </c>
      <c r="B744">
        <v>10068</v>
      </c>
      <c r="C744" t="s">
        <v>270</v>
      </c>
      <c r="D744" t="s">
        <v>29</v>
      </c>
      <c r="E744" t="s">
        <v>11</v>
      </c>
      <c r="F744" t="s">
        <v>12</v>
      </c>
      <c r="G744" t="s">
        <v>31</v>
      </c>
      <c r="H744">
        <v>47621.21</v>
      </c>
      <c r="I744">
        <v>0</v>
      </c>
      <c r="J744" t="str">
        <f t="shared" si="55"/>
        <v>High</v>
      </c>
      <c r="K744" t="str">
        <f t="shared" si="56"/>
        <v>Normal</v>
      </c>
      <c r="L744">
        <f t="shared" si="57"/>
        <v>1</v>
      </c>
      <c r="M744">
        <f t="shared" si="58"/>
        <v>1</v>
      </c>
      <c r="N744" s="6">
        <f t="shared" si="59"/>
        <v>45668</v>
      </c>
    </row>
    <row r="745" spans="1:14" x14ac:dyDescent="0.3">
      <c r="A745">
        <v>248</v>
      </c>
      <c r="B745">
        <v>10097</v>
      </c>
      <c r="C745" t="s">
        <v>271</v>
      </c>
      <c r="D745" t="s">
        <v>15</v>
      </c>
      <c r="E745" t="s">
        <v>24</v>
      </c>
      <c r="F745" t="s">
        <v>17</v>
      </c>
      <c r="G745" t="s">
        <v>25</v>
      </c>
      <c r="H745">
        <v>67472.53</v>
      </c>
      <c r="I745">
        <v>0</v>
      </c>
      <c r="J745" t="str">
        <f t="shared" si="55"/>
        <v>High</v>
      </c>
      <c r="K745" t="str">
        <f t="shared" si="56"/>
        <v>Normal</v>
      </c>
      <c r="L745">
        <f t="shared" si="57"/>
        <v>1</v>
      </c>
      <c r="M745">
        <f t="shared" si="58"/>
        <v>1</v>
      </c>
      <c r="N745" s="6">
        <f t="shared" si="59"/>
        <v>45668</v>
      </c>
    </row>
    <row r="746" spans="1:14" x14ac:dyDescent="0.3">
      <c r="A746">
        <v>249</v>
      </c>
      <c r="B746">
        <v>10069</v>
      </c>
      <c r="C746" t="s">
        <v>272</v>
      </c>
      <c r="D746" t="s">
        <v>29</v>
      </c>
      <c r="E746" t="s">
        <v>11</v>
      </c>
      <c r="F746" t="s">
        <v>17</v>
      </c>
      <c r="G746" t="s">
        <v>18</v>
      </c>
      <c r="H746">
        <v>76313.039999999994</v>
      </c>
      <c r="I746">
        <v>1</v>
      </c>
      <c r="J746" t="str">
        <f t="shared" si="55"/>
        <v>High</v>
      </c>
      <c r="K746" t="str">
        <f t="shared" si="56"/>
        <v>High Risk</v>
      </c>
      <c r="L746">
        <f t="shared" si="57"/>
        <v>1</v>
      </c>
      <c r="M746">
        <f t="shared" si="58"/>
        <v>1</v>
      </c>
      <c r="N746" s="6">
        <f t="shared" si="59"/>
        <v>45668</v>
      </c>
    </row>
    <row r="747" spans="1:14" x14ac:dyDescent="0.3">
      <c r="A747">
        <v>250</v>
      </c>
      <c r="B747">
        <v>10085</v>
      </c>
      <c r="C747" t="s">
        <v>273</v>
      </c>
      <c r="D747" t="s">
        <v>29</v>
      </c>
      <c r="E747" t="s">
        <v>16</v>
      </c>
      <c r="F747" t="s">
        <v>17</v>
      </c>
      <c r="G747" t="s">
        <v>31</v>
      </c>
      <c r="H747">
        <v>4640.7</v>
      </c>
      <c r="I747">
        <v>0</v>
      </c>
      <c r="J747" t="str">
        <f t="shared" si="55"/>
        <v>High</v>
      </c>
      <c r="K747" t="str">
        <f t="shared" si="56"/>
        <v>Normal</v>
      </c>
      <c r="L747">
        <f t="shared" si="57"/>
        <v>1</v>
      </c>
      <c r="M747">
        <f t="shared" si="58"/>
        <v>1</v>
      </c>
      <c r="N747" s="6">
        <f t="shared" si="59"/>
        <v>45668</v>
      </c>
    </row>
    <row r="748" spans="1:14" x14ac:dyDescent="0.3">
      <c r="A748">
        <v>251</v>
      </c>
      <c r="B748">
        <v>10010</v>
      </c>
      <c r="C748" t="s">
        <v>274</v>
      </c>
      <c r="D748" t="s">
        <v>23</v>
      </c>
      <c r="E748" t="s">
        <v>11</v>
      </c>
      <c r="F748" t="s">
        <v>17</v>
      </c>
      <c r="G748" t="s">
        <v>21</v>
      </c>
      <c r="H748">
        <v>64695.38</v>
      </c>
      <c r="I748">
        <v>1</v>
      </c>
      <c r="J748" t="str">
        <f t="shared" si="55"/>
        <v>High</v>
      </c>
      <c r="K748" t="str">
        <f t="shared" si="56"/>
        <v>High Risk</v>
      </c>
      <c r="L748">
        <f t="shared" si="57"/>
        <v>1</v>
      </c>
      <c r="M748">
        <f t="shared" si="58"/>
        <v>1</v>
      </c>
      <c r="N748" s="6">
        <f t="shared" si="59"/>
        <v>45668</v>
      </c>
    </row>
    <row r="749" spans="1:14" x14ac:dyDescent="0.3">
      <c r="A749">
        <v>252</v>
      </c>
      <c r="B749">
        <v>10015</v>
      </c>
      <c r="C749" t="s">
        <v>275</v>
      </c>
      <c r="D749" t="s">
        <v>10</v>
      </c>
      <c r="E749" t="s">
        <v>24</v>
      </c>
      <c r="F749" t="s">
        <v>17</v>
      </c>
      <c r="G749" t="s">
        <v>18</v>
      </c>
      <c r="H749">
        <v>22751.439999999999</v>
      </c>
      <c r="I749">
        <v>0</v>
      </c>
      <c r="J749" t="str">
        <f t="shared" si="55"/>
        <v>High</v>
      </c>
      <c r="K749" t="str">
        <f t="shared" si="56"/>
        <v>Normal</v>
      </c>
      <c r="L749">
        <f t="shared" si="57"/>
        <v>1</v>
      </c>
      <c r="M749">
        <f t="shared" si="58"/>
        <v>1</v>
      </c>
      <c r="N749" s="6">
        <f t="shared" si="59"/>
        <v>45668</v>
      </c>
    </row>
    <row r="750" spans="1:14" x14ac:dyDescent="0.3">
      <c r="A750">
        <v>253</v>
      </c>
      <c r="B750">
        <v>10096</v>
      </c>
      <c r="C750" t="s">
        <v>276</v>
      </c>
      <c r="D750" t="s">
        <v>15</v>
      </c>
      <c r="E750" t="s">
        <v>24</v>
      </c>
      <c r="F750" t="s">
        <v>17</v>
      </c>
      <c r="G750" t="s">
        <v>25</v>
      </c>
      <c r="H750">
        <v>67036.25</v>
      </c>
      <c r="I750">
        <v>0</v>
      </c>
      <c r="J750" t="str">
        <f t="shared" si="55"/>
        <v>High</v>
      </c>
      <c r="K750" t="str">
        <f t="shared" si="56"/>
        <v>Normal</v>
      </c>
      <c r="L750">
        <f t="shared" si="57"/>
        <v>1</v>
      </c>
      <c r="M750">
        <f t="shared" si="58"/>
        <v>1</v>
      </c>
      <c r="N750" s="6">
        <f t="shared" si="59"/>
        <v>45668</v>
      </c>
    </row>
    <row r="751" spans="1:14" x14ac:dyDescent="0.3">
      <c r="A751">
        <v>254</v>
      </c>
      <c r="B751">
        <v>10072</v>
      </c>
      <c r="C751" t="s">
        <v>277</v>
      </c>
      <c r="D751" t="s">
        <v>23</v>
      </c>
      <c r="E751" t="s">
        <v>16</v>
      </c>
      <c r="F751" t="s">
        <v>12</v>
      </c>
      <c r="G751" t="s">
        <v>31</v>
      </c>
      <c r="H751">
        <v>46886.19</v>
      </c>
      <c r="I751">
        <v>0</v>
      </c>
      <c r="J751" t="str">
        <f t="shared" si="55"/>
        <v>High</v>
      </c>
      <c r="K751" t="str">
        <f t="shared" si="56"/>
        <v>Normal</v>
      </c>
      <c r="L751">
        <f t="shared" si="57"/>
        <v>1</v>
      </c>
      <c r="M751">
        <f t="shared" si="58"/>
        <v>1</v>
      </c>
      <c r="N751" s="6">
        <f t="shared" si="59"/>
        <v>45668</v>
      </c>
    </row>
    <row r="752" spans="1:14" x14ac:dyDescent="0.3">
      <c r="A752">
        <v>255</v>
      </c>
      <c r="B752">
        <v>10058</v>
      </c>
      <c r="C752" t="s">
        <v>278</v>
      </c>
      <c r="D752" t="s">
        <v>10</v>
      </c>
      <c r="E752" t="s">
        <v>24</v>
      </c>
      <c r="F752" t="s">
        <v>17</v>
      </c>
      <c r="G752" t="s">
        <v>18</v>
      </c>
      <c r="H752">
        <v>77377.919999999998</v>
      </c>
      <c r="I752">
        <v>0</v>
      </c>
      <c r="J752" t="str">
        <f t="shared" si="55"/>
        <v>High</v>
      </c>
      <c r="K752" t="str">
        <f t="shared" si="56"/>
        <v>Normal</v>
      </c>
      <c r="L752">
        <f t="shared" si="57"/>
        <v>1</v>
      </c>
      <c r="M752">
        <f t="shared" si="58"/>
        <v>1</v>
      </c>
      <c r="N752" s="6">
        <f t="shared" si="59"/>
        <v>45668</v>
      </c>
    </row>
    <row r="753" spans="1:14" x14ac:dyDescent="0.3">
      <c r="A753">
        <v>256</v>
      </c>
      <c r="B753">
        <v>10069</v>
      </c>
      <c r="C753" t="s">
        <v>279</v>
      </c>
      <c r="D753" t="s">
        <v>10</v>
      </c>
      <c r="E753" t="s">
        <v>11</v>
      </c>
      <c r="F753" t="s">
        <v>17</v>
      </c>
      <c r="G753" t="s">
        <v>31</v>
      </c>
      <c r="H753">
        <v>12427.74</v>
      </c>
      <c r="I753">
        <v>0</v>
      </c>
      <c r="J753" t="str">
        <f t="shared" si="55"/>
        <v>High</v>
      </c>
      <c r="K753" t="str">
        <f t="shared" si="56"/>
        <v>Normal</v>
      </c>
      <c r="L753">
        <f t="shared" si="57"/>
        <v>1</v>
      </c>
      <c r="M753">
        <f t="shared" si="58"/>
        <v>1</v>
      </c>
      <c r="N753" s="6">
        <f t="shared" si="59"/>
        <v>45668</v>
      </c>
    </row>
    <row r="754" spans="1:14" x14ac:dyDescent="0.3">
      <c r="A754">
        <v>257</v>
      </c>
      <c r="B754">
        <v>10079</v>
      </c>
      <c r="C754" t="s">
        <v>280</v>
      </c>
      <c r="D754" t="s">
        <v>20</v>
      </c>
      <c r="E754" t="s">
        <v>24</v>
      </c>
      <c r="F754" t="s">
        <v>12</v>
      </c>
      <c r="G754" t="s">
        <v>31</v>
      </c>
      <c r="H754">
        <v>62669.599999999999</v>
      </c>
      <c r="I754">
        <v>0</v>
      </c>
      <c r="J754" t="str">
        <f t="shared" si="55"/>
        <v>High</v>
      </c>
      <c r="K754" t="str">
        <f t="shared" si="56"/>
        <v>Normal</v>
      </c>
      <c r="L754">
        <f t="shared" si="57"/>
        <v>1</v>
      </c>
      <c r="M754">
        <f t="shared" si="58"/>
        <v>1</v>
      </c>
      <c r="N754" s="6">
        <f t="shared" si="59"/>
        <v>45668</v>
      </c>
    </row>
    <row r="755" spans="1:14" x14ac:dyDescent="0.3">
      <c r="A755">
        <v>258</v>
      </c>
      <c r="B755">
        <v>10092</v>
      </c>
      <c r="C755" t="s">
        <v>281</v>
      </c>
      <c r="D755" t="s">
        <v>15</v>
      </c>
      <c r="E755" t="s">
        <v>16</v>
      </c>
      <c r="F755" t="s">
        <v>12</v>
      </c>
      <c r="G755" t="s">
        <v>25</v>
      </c>
      <c r="H755">
        <v>27919.23</v>
      </c>
      <c r="I755">
        <v>0</v>
      </c>
      <c r="J755" t="str">
        <f t="shared" si="55"/>
        <v>High</v>
      </c>
      <c r="K755" t="str">
        <f t="shared" si="56"/>
        <v>Normal</v>
      </c>
      <c r="L755">
        <f t="shared" si="57"/>
        <v>1</v>
      </c>
      <c r="M755">
        <f t="shared" si="58"/>
        <v>1</v>
      </c>
      <c r="N755" s="6">
        <f t="shared" si="59"/>
        <v>45668</v>
      </c>
    </row>
    <row r="756" spans="1:14" x14ac:dyDescent="0.3">
      <c r="A756">
        <v>259</v>
      </c>
      <c r="B756">
        <v>10002</v>
      </c>
      <c r="C756" t="s">
        <v>282</v>
      </c>
      <c r="D756" t="s">
        <v>10</v>
      </c>
      <c r="E756" t="s">
        <v>24</v>
      </c>
      <c r="F756" t="s">
        <v>12</v>
      </c>
      <c r="G756" t="s">
        <v>13</v>
      </c>
      <c r="H756">
        <v>85312.9</v>
      </c>
      <c r="I756">
        <v>0</v>
      </c>
      <c r="J756" t="str">
        <f t="shared" si="55"/>
        <v>High</v>
      </c>
      <c r="K756" t="str">
        <f t="shared" si="56"/>
        <v>Normal</v>
      </c>
      <c r="L756">
        <f t="shared" si="57"/>
        <v>1</v>
      </c>
      <c r="M756">
        <f t="shared" si="58"/>
        <v>1</v>
      </c>
      <c r="N756" s="6">
        <f t="shared" si="59"/>
        <v>45668</v>
      </c>
    </row>
    <row r="757" spans="1:14" x14ac:dyDescent="0.3">
      <c r="A757">
        <v>260</v>
      </c>
      <c r="B757">
        <v>10019</v>
      </c>
      <c r="C757" t="s">
        <v>283</v>
      </c>
      <c r="D757" t="s">
        <v>23</v>
      </c>
      <c r="E757" t="s">
        <v>24</v>
      </c>
      <c r="F757" t="s">
        <v>17</v>
      </c>
      <c r="G757" t="s">
        <v>18</v>
      </c>
      <c r="H757">
        <v>92845.51</v>
      </c>
      <c r="I757">
        <v>0</v>
      </c>
      <c r="J757" t="str">
        <f t="shared" si="55"/>
        <v>High</v>
      </c>
      <c r="K757" t="str">
        <f t="shared" si="56"/>
        <v>Normal</v>
      </c>
      <c r="L757">
        <f t="shared" si="57"/>
        <v>1</v>
      </c>
      <c r="M757">
        <f t="shared" si="58"/>
        <v>1</v>
      </c>
      <c r="N757" s="6">
        <f t="shared" si="59"/>
        <v>45668</v>
      </c>
    </row>
    <row r="758" spans="1:14" x14ac:dyDescent="0.3">
      <c r="A758">
        <v>261</v>
      </c>
      <c r="B758">
        <v>10058</v>
      </c>
      <c r="C758" t="s">
        <v>284</v>
      </c>
      <c r="D758" t="s">
        <v>20</v>
      </c>
      <c r="E758" t="s">
        <v>24</v>
      </c>
      <c r="F758" t="s">
        <v>12</v>
      </c>
      <c r="G758" t="s">
        <v>25</v>
      </c>
      <c r="H758">
        <v>99640.19</v>
      </c>
      <c r="I758">
        <v>0</v>
      </c>
      <c r="J758" t="str">
        <f t="shared" si="55"/>
        <v>High</v>
      </c>
      <c r="K758" t="str">
        <f t="shared" si="56"/>
        <v>Normal</v>
      </c>
      <c r="L758">
        <f t="shared" si="57"/>
        <v>1</v>
      </c>
      <c r="M758">
        <f t="shared" si="58"/>
        <v>1</v>
      </c>
      <c r="N758" s="6">
        <f t="shared" si="59"/>
        <v>45668</v>
      </c>
    </row>
    <row r="759" spans="1:14" x14ac:dyDescent="0.3">
      <c r="A759">
        <v>262</v>
      </c>
      <c r="B759">
        <v>10035</v>
      </c>
      <c r="C759" t="s">
        <v>285</v>
      </c>
      <c r="D759" t="s">
        <v>15</v>
      </c>
      <c r="E759" t="s">
        <v>16</v>
      </c>
      <c r="F759" t="s">
        <v>17</v>
      </c>
      <c r="G759" t="s">
        <v>31</v>
      </c>
      <c r="H759">
        <v>79621.14</v>
      </c>
      <c r="I759">
        <v>0</v>
      </c>
      <c r="J759" t="str">
        <f t="shared" si="55"/>
        <v>High</v>
      </c>
      <c r="K759" t="str">
        <f t="shared" si="56"/>
        <v>Normal</v>
      </c>
      <c r="L759">
        <f t="shared" si="57"/>
        <v>1</v>
      </c>
      <c r="M759">
        <f t="shared" si="58"/>
        <v>1</v>
      </c>
      <c r="N759" s="6">
        <f t="shared" si="59"/>
        <v>45668</v>
      </c>
    </row>
    <row r="760" spans="1:14" x14ac:dyDescent="0.3">
      <c r="A760">
        <v>263</v>
      </c>
      <c r="B760">
        <v>10018</v>
      </c>
      <c r="C760" t="s">
        <v>286</v>
      </c>
      <c r="D760" t="s">
        <v>29</v>
      </c>
      <c r="E760" t="s">
        <v>24</v>
      </c>
      <c r="F760" t="s">
        <v>17</v>
      </c>
      <c r="G760" t="s">
        <v>25</v>
      </c>
      <c r="H760">
        <v>75398.03</v>
      </c>
      <c r="I760">
        <v>0</v>
      </c>
      <c r="J760" t="str">
        <f t="shared" si="55"/>
        <v>High</v>
      </c>
      <c r="K760" t="str">
        <f t="shared" si="56"/>
        <v>Normal</v>
      </c>
      <c r="L760">
        <f t="shared" si="57"/>
        <v>1</v>
      </c>
      <c r="M760">
        <f t="shared" si="58"/>
        <v>1</v>
      </c>
      <c r="N760" s="6">
        <f t="shared" si="59"/>
        <v>45668</v>
      </c>
    </row>
    <row r="761" spans="1:14" x14ac:dyDescent="0.3">
      <c r="A761">
        <v>264</v>
      </c>
      <c r="B761">
        <v>10089</v>
      </c>
      <c r="C761" t="s">
        <v>287</v>
      </c>
      <c r="D761" t="s">
        <v>23</v>
      </c>
      <c r="E761" t="s">
        <v>24</v>
      </c>
      <c r="F761" t="s">
        <v>17</v>
      </c>
      <c r="G761" t="s">
        <v>13</v>
      </c>
      <c r="H761">
        <v>21628.53</v>
      </c>
      <c r="I761">
        <v>0</v>
      </c>
      <c r="J761" t="str">
        <f t="shared" si="55"/>
        <v>High</v>
      </c>
      <c r="K761" t="str">
        <f t="shared" si="56"/>
        <v>Normal</v>
      </c>
      <c r="L761">
        <f t="shared" si="57"/>
        <v>1</v>
      </c>
      <c r="M761">
        <f t="shared" si="58"/>
        <v>1</v>
      </c>
      <c r="N761" s="6">
        <f t="shared" si="59"/>
        <v>45668</v>
      </c>
    </row>
    <row r="762" spans="1:14" x14ac:dyDescent="0.3">
      <c r="A762">
        <v>217</v>
      </c>
      <c r="B762">
        <v>10011</v>
      </c>
      <c r="C762" t="s">
        <v>240</v>
      </c>
      <c r="D762" t="s">
        <v>23</v>
      </c>
      <c r="E762" t="s">
        <v>16</v>
      </c>
      <c r="F762" t="s">
        <v>12</v>
      </c>
      <c r="G762" t="s">
        <v>25</v>
      </c>
      <c r="H762">
        <v>52055.4</v>
      </c>
      <c r="I762">
        <v>0</v>
      </c>
      <c r="J762" t="str">
        <f t="shared" si="55"/>
        <v>High</v>
      </c>
      <c r="K762" t="str">
        <f t="shared" si="56"/>
        <v>Normal</v>
      </c>
      <c r="L762">
        <f t="shared" si="57"/>
        <v>1</v>
      </c>
      <c r="M762">
        <f t="shared" si="58"/>
        <v>1</v>
      </c>
      <c r="N762" s="6">
        <f t="shared" si="59"/>
        <v>45667</v>
      </c>
    </row>
    <row r="763" spans="1:14" x14ac:dyDescent="0.3">
      <c r="A763">
        <v>218</v>
      </c>
      <c r="B763">
        <v>10038</v>
      </c>
      <c r="C763" t="s">
        <v>241</v>
      </c>
      <c r="D763" t="s">
        <v>23</v>
      </c>
      <c r="E763" t="s">
        <v>11</v>
      </c>
      <c r="F763" t="s">
        <v>17</v>
      </c>
      <c r="G763" t="s">
        <v>21</v>
      </c>
      <c r="H763">
        <v>52243.11</v>
      </c>
      <c r="I763">
        <v>1</v>
      </c>
      <c r="J763" t="str">
        <f t="shared" si="55"/>
        <v>High</v>
      </c>
      <c r="K763" t="str">
        <f t="shared" si="56"/>
        <v>High Risk</v>
      </c>
      <c r="L763">
        <f t="shared" si="57"/>
        <v>1</v>
      </c>
      <c r="M763">
        <f t="shared" si="58"/>
        <v>1</v>
      </c>
      <c r="N763" s="6">
        <f t="shared" si="59"/>
        <v>45667</v>
      </c>
    </row>
    <row r="764" spans="1:14" x14ac:dyDescent="0.3">
      <c r="A764">
        <v>219</v>
      </c>
      <c r="B764">
        <v>10001</v>
      </c>
      <c r="C764" t="s">
        <v>242</v>
      </c>
      <c r="D764" t="s">
        <v>20</v>
      </c>
      <c r="E764" t="s">
        <v>24</v>
      </c>
      <c r="F764" t="s">
        <v>17</v>
      </c>
      <c r="G764" t="s">
        <v>31</v>
      </c>
      <c r="H764">
        <v>58934.41</v>
      </c>
      <c r="I764">
        <v>0</v>
      </c>
      <c r="J764" t="str">
        <f t="shared" si="55"/>
        <v>High</v>
      </c>
      <c r="K764" t="str">
        <f t="shared" si="56"/>
        <v>Normal</v>
      </c>
      <c r="L764">
        <f t="shared" si="57"/>
        <v>1</v>
      </c>
      <c r="M764">
        <f t="shared" si="58"/>
        <v>1</v>
      </c>
      <c r="N764" s="6">
        <f t="shared" si="59"/>
        <v>45667</v>
      </c>
    </row>
    <row r="765" spans="1:14" x14ac:dyDescent="0.3">
      <c r="A765">
        <v>220</v>
      </c>
      <c r="B765">
        <v>10002</v>
      </c>
      <c r="C765" t="s">
        <v>243</v>
      </c>
      <c r="D765" t="s">
        <v>23</v>
      </c>
      <c r="E765" t="s">
        <v>16</v>
      </c>
      <c r="F765" t="s">
        <v>12</v>
      </c>
      <c r="G765" t="s">
        <v>13</v>
      </c>
      <c r="H765">
        <v>75192.45</v>
      </c>
      <c r="I765">
        <v>0</v>
      </c>
      <c r="J765" t="str">
        <f t="shared" si="55"/>
        <v>High</v>
      </c>
      <c r="K765" t="str">
        <f t="shared" si="56"/>
        <v>Normal</v>
      </c>
      <c r="L765">
        <f t="shared" si="57"/>
        <v>1</v>
      </c>
      <c r="M765">
        <f t="shared" si="58"/>
        <v>1</v>
      </c>
      <c r="N765" s="6">
        <f t="shared" si="59"/>
        <v>45667</v>
      </c>
    </row>
    <row r="766" spans="1:14" x14ac:dyDescent="0.3">
      <c r="A766">
        <v>221</v>
      </c>
      <c r="B766">
        <v>10055</v>
      </c>
      <c r="C766" t="s">
        <v>244</v>
      </c>
      <c r="D766" t="s">
        <v>23</v>
      </c>
      <c r="E766" t="s">
        <v>24</v>
      </c>
      <c r="F766" t="s">
        <v>12</v>
      </c>
      <c r="G766" t="s">
        <v>18</v>
      </c>
      <c r="H766">
        <v>62385.440000000002</v>
      </c>
      <c r="I766">
        <v>0</v>
      </c>
      <c r="J766" t="str">
        <f t="shared" si="55"/>
        <v>High</v>
      </c>
      <c r="K766" t="str">
        <f t="shared" si="56"/>
        <v>Normal</v>
      </c>
      <c r="L766">
        <f t="shared" si="57"/>
        <v>1</v>
      </c>
      <c r="M766">
        <f t="shared" si="58"/>
        <v>1</v>
      </c>
      <c r="N766" s="6">
        <f t="shared" si="59"/>
        <v>45667</v>
      </c>
    </row>
    <row r="767" spans="1:14" x14ac:dyDescent="0.3">
      <c r="A767">
        <v>222</v>
      </c>
      <c r="B767">
        <v>10080</v>
      </c>
      <c r="C767" t="s">
        <v>245</v>
      </c>
      <c r="D767" t="s">
        <v>15</v>
      </c>
      <c r="E767" t="s">
        <v>24</v>
      </c>
      <c r="F767" t="s">
        <v>17</v>
      </c>
      <c r="G767" t="s">
        <v>21</v>
      </c>
      <c r="H767">
        <v>60068.12</v>
      </c>
      <c r="I767">
        <v>0</v>
      </c>
      <c r="J767" t="str">
        <f t="shared" si="55"/>
        <v>High</v>
      </c>
      <c r="K767" t="str">
        <f t="shared" si="56"/>
        <v>Normal</v>
      </c>
      <c r="L767">
        <f t="shared" si="57"/>
        <v>1</v>
      </c>
      <c r="M767">
        <f t="shared" si="58"/>
        <v>1</v>
      </c>
      <c r="N767" s="6">
        <f t="shared" si="59"/>
        <v>45667</v>
      </c>
    </row>
    <row r="768" spans="1:14" x14ac:dyDescent="0.3">
      <c r="A768">
        <v>223</v>
      </c>
      <c r="B768">
        <v>10058</v>
      </c>
      <c r="C768" t="s">
        <v>246</v>
      </c>
      <c r="D768" t="s">
        <v>20</v>
      </c>
      <c r="E768" t="s">
        <v>11</v>
      </c>
      <c r="F768" t="s">
        <v>12</v>
      </c>
      <c r="G768" t="s">
        <v>25</v>
      </c>
      <c r="H768">
        <v>5446.09</v>
      </c>
      <c r="I768">
        <v>0</v>
      </c>
      <c r="J768" t="str">
        <f t="shared" si="55"/>
        <v>High</v>
      </c>
      <c r="K768" t="str">
        <f t="shared" si="56"/>
        <v>Normal</v>
      </c>
      <c r="L768">
        <f t="shared" si="57"/>
        <v>1</v>
      </c>
      <c r="M768">
        <f t="shared" si="58"/>
        <v>1</v>
      </c>
      <c r="N768" s="6">
        <f t="shared" si="59"/>
        <v>45667</v>
      </c>
    </row>
    <row r="769" spans="1:14" x14ac:dyDescent="0.3">
      <c r="A769">
        <v>224</v>
      </c>
      <c r="B769">
        <v>10001</v>
      </c>
      <c r="C769" t="s">
        <v>247</v>
      </c>
      <c r="D769" t="s">
        <v>29</v>
      </c>
      <c r="E769" t="s">
        <v>16</v>
      </c>
      <c r="F769" t="s">
        <v>17</v>
      </c>
      <c r="G769" t="s">
        <v>13</v>
      </c>
      <c r="H769">
        <v>37715.379999999997</v>
      </c>
      <c r="I769">
        <v>0</v>
      </c>
      <c r="J769" t="str">
        <f t="shared" si="55"/>
        <v>High</v>
      </c>
      <c r="K769" t="str">
        <f t="shared" si="56"/>
        <v>Normal</v>
      </c>
      <c r="L769">
        <f t="shared" si="57"/>
        <v>1</v>
      </c>
      <c r="M769">
        <f t="shared" si="58"/>
        <v>1</v>
      </c>
      <c r="N769" s="6">
        <f t="shared" si="59"/>
        <v>45667</v>
      </c>
    </row>
    <row r="770" spans="1:14" x14ac:dyDescent="0.3">
      <c r="A770">
        <v>225</v>
      </c>
      <c r="B770">
        <v>10001</v>
      </c>
      <c r="C770" t="s">
        <v>248</v>
      </c>
      <c r="D770" t="s">
        <v>15</v>
      </c>
      <c r="E770" t="s">
        <v>11</v>
      </c>
      <c r="F770" t="s">
        <v>17</v>
      </c>
      <c r="G770" t="s">
        <v>25</v>
      </c>
      <c r="H770">
        <v>23282.37</v>
      </c>
      <c r="I770">
        <v>0</v>
      </c>
      <c r="J770" t="str">
        <f t="shared" ref="J770:J833" si="60">IF(E770&gt;50000,"High","Normal")</f>
        <v>High</v>
      </c>
      <c r="K770" t="str">
        <f t="shared" ref="K770:K833" si="61">IF(AND(H770&gt;50000,E770="Online"),"High Risk","Normal")</f>
        <v>Normal</v>
      </c>
      <c r="L770">
        <f t="shared" ref="L770:L833" si="62">COUNTIFS(C:C,C770,B:B,B770)</f>
        <v>1</v>
      </c>
      <c r="M770">
        <f t="shared" ref="M770:M833" si="63">IF(E770&gt;50000,1,0) + IF(H770="Unusual",1,0) + IF(I770&gt;3,1,0)</f>
        <v>1</v>
      </c>
      <c r="N770" s="6">
        <f t="shared" ref="N770:N833" si="64">INT(C770)</f>
        <v>45667</v>
      </c>
    </row>
    <row r="771" spans="1:14" x14ac:dyDescent="0.3">
      <c r="A771">
        <v>226</v>
      </c>
      <c r="B771">
        <v>10091</v>
      </c>
      <c r="C771" t="s">
        <v>249</v>
      </c>
      <c r="D771" t="s">
        <v>15</v>
      </c>
      <c r="E771" t="s">
        <v>11</v>
      </c>
      <c r="F771" t="s">
        <v>17</v>
      </c>
      <c r="G771" t="s">
        <v>25</v>
      </c>
      <c r="H771">
        <v>26610.47</v>
      </c>
      <c r="I771">
        <v>0</v>
      </c>
      <c r="J771" t="str">
        <f t="shared" si="60"/>
        <v>High</v>
      </c>
      <c r="K771" t="str">
        <f t="shared" si="61"/>
        <v>Normal</v>
      </c>
      <c r="L771">
        <f t="shared" si="62"/>
        <v>1</v>
      </c>
      <c r="M771">
        <f t="shared" si="63"/>
        <v>1</v>
      </c>
      <c r="N771" s="6">
        <f t="shared" si="64"/>
        <v>45667</v>
      </c>
    </row>
    <row r="772" spans="1:14" x14ac:dyDescent="0.3">
      <c r="A772">
        <v>227</v>
      </c>
      <c r="B772">
        <v>10053</v>
      </c>
      <c r="C772" t="s">
        <v>250</v>
      </c>
      <c r="D772" t="s">
        <v>29</v>
      </c>
      <c r="E772" t="s">
        <v>16</v>
      </c>
      <c r="F772" t="s">
        <v>12</v>
      </c>
      <c r="G772" t="s">
        <v>31</v>
      </c>
      <c r="H772">
        <v>55478.31</v>
      </c>
      <c r="I772">
        <v>0</v>
      </c>
      <c r="J772" t="str">
        <f t="shared" si="60"/>
        <v>High</v>
      </c>
      <c r="K772" t="str">
        <f t="shared" si="61"/>
        <v>Normal</v>
      </c>
      <c r="L772">
        <f t="shared" si="62"/>
        <v>1</v>
      </c>
      <c r="M772">
        <f t="shared" si="63"/>
        <v>1</v>
      </c>
      <c r="N772" s="6">
        <f t="shared" si="64"/>
        <v>45667</v>
      </c>
    </row>
    <row r="773" spans="1:14" x14ac:dyDescent="0.3">
      <c r="A773">
        <v>228</v>
      </c>
      <c r="B773">
        <v>10086</v>
      </c>
      <c r="C773" t="s">
        <v>251</v>
      </c>
      <c r="D773" t="s">
        <v>23</v>
      </c>
      <c r="E773" t="s">
        <v>16</v>
      </c>
      <c r="F773" t="s">
        <v>17</v>
      </c>
      <c r="G773" t="s">
        <v>31</v>
      </c>
      <c r="H773">
        <v>20030.580000000002</v>
      </c>
      <c r="I773">
        <v>0</v>
      </c>
      <c r="J773" t="str">
        <f t="shared" si="60"/>
        <v>High</v>
      </c>
      <c r="K773" t="str">
        <f t="shared" si="61"/>
        <v>Normal</v>
      </c>
      <c r="L773">
        <f t="shared" si="62"/>
        <v>1</v>
      </c>
      <c r="M773">
        <f t="shared" si="63"/>
        <v>1</v>
      </c>
      <c r="N773" s="6">
        <f t="shared" si="64"/>
        <v>45667</v>
      </c>
    </row>
    <row r="774" spans="1:14" x14ac:dyDescent="0.3">
      <c r="A774">
        <v>229</v>
      </c>
      <c r="B774">
        <v>10095</v>
      </c>
      <c r="C774" t="s">
        <v>252</v>
      </c>
      <c r="D774" t="s">
        <v>10</v>
      </c>
      <c r="E774" t="s">
        <v>24</v>
      </c>
      <c r="F774" t="s">
        <v>12</v>
      </c>
      <c r="G774" t="s">
        <v>13</v>
      </c>
      <c r="H774">
        <v>29465.52</v>
      </c>
      <c r="I774">
        <v>0</v>
      </c>
      <c r="J774" t="str">
        <f t="shared" si="60"/>
        <v>High</v>
      </c>
      <c r="K774" t="str">
        <f t="shared" si="61"/>
        <v>Normal</v>
      </c>
      <c r="L774">
        <f t="shared" si="62"/>
        <v>1</v>
      </c>
      <c r="M774">
        <f t="shared" si="63"/>
        <v>1</v>
      </c>
      <c r="N774" s="6">
        <f t="shared" si="64"/>
        <v>45667</v>
      </c>
    </row>
    <row r="775" spans="1:14" x14ac:dyDescent="0.3">
      <c r="A775">
        <v>230</v>
      </c>
      <c r="B775">
        <v>10096</v>
      </c>
      <c r="C775" t="s">
        <v>253</v>
      </c>
      <c r="D775" t="s">
        <v>20</v>
      </c>
      <c r="E775" t="s">
        <v>16</v>
      </c>
      <c r="F775" t="s">
        <v>17</v>
      </c>
      <c r="G775" t="s">
        <v>18</v>
      </c>
      <c r="H775">
        <v>23784.76</v>
      </c>
      <c r="I775">
        <v>0</v>
      </c>
      <c r="J775" t="str">
        <f t="shared" si="60"/>
        <v>High</v>
      </c>
      <c r="K775" t="str">
        <f t="shared" si="61"/>
        <v>Normal</v>
      </c>
      <c r="L775">
        <f t="shared" si="62"/>
        <v>1</v>
      </c>
      <c r="M775">
        <f t="shared" si="63"/>
        <v>1</v>
      </c>
      <c r="N775" s="6">
        <f t="shared" si="64"/>
        <v>45667</v>
      </c>
    </row>
    <row r="776" spans="1:14" x14ac:dyDescent="0.3">
      <c r="A776">
        <v>231</v>
      </c>
      <c r="B776">
        <v>10000</v>
      </c>
      <c r="C776" t="s">
        <v>254</v>
      </c>
      <c r="D776" t="s">
        <v>10</v>
      </c>
      <c r="E776" t="s">
        <v>24</v>
      </c>
      <c r="F776" t="s">
        <v>12</v>
      </c>
      <c r="G776" t="s">
        <v>13</v>
      </c>
      <c r="H776">
        <v>94855.44</v>
      </c>
      <c r="I776">
        <v>0</v>
      </c>
      <c r="J776" t="str">
        <f t="shared" si="60"/>
        <v>High</v>
      </c>
      <c r="K776" t="str">
        <f t="shared" si="61"/>
        <v>Normal</v>
      </c>
      <c r="L776">
        <f t="shared" si="62"/>
        <v>1</v>
      </c>
      <c r="M776">
        <f t="shared" si="63"/>
        <v>1</v>
      </c>
      <c r="N776" s="6">
        <f t="shared" si="64"/>
        <v>45667</v>
      </c>
    </row>
    <row r="777" spans="1:14" x14ac:dyDescent="0.3">
      <c r="A777">
        <v>232</v>
      </c>
      <c r="B777">
        <v>10018</v>
      </c>
      <c r="C777" t="s">
        <v>255</v>
      </c>
      <c r="D777" t="s">
        <v>29</v>
      </c>
      <c r="E777" t="s">
        <v>24</v>
      </c>
      <c r="F777" t="s">
        <v>12</v>
      </c>
      <c r="G777" t="s">
        <v>18</v>
      </c>
      <c r="H777">
        <v>94472.11</v>
      </c>
      <c r="I777">
        <v>0</v>
      </c>
      <c r="J777" t="str">
        <f t="shared" si="60"/>
        <v>High</v>
      </c>
      <c r="K777" t="str">
        <f t="shared" si="61"/>
        <v>Normal</v>
      </c>
      <c r="L777">
        <f t="shared" si="62"/>
        <v>1</v>
      </c>
      <c r="M777">
        <f t="shared" si="63"/>
        <v>1</v>
      </c>
      <c r="N777" s="6">
        <f t="shared" si="64"/>
        <v>45667</v>
      </c>
    </row>
    <row r="778" spans="1:14" x14ac:dyDescent="0.3">
      <c r="A778">
        <v>233</v>
      </c>
      <c r="B778">
        <v>10001</v>
      </c>
      <c r="C778" t="s">
        <v>256</v>
      </c>
      <c r="D778" t="s">
        <v>15</v>
      </c>
      <c r="E778" t="s">
        <v>24</v>
      </c>
      <c r="F778" t="s">
        <v>12</v>
      </c>
      <c r="G778" t="s">
        <v>25</v>
      </c>
      <c r="H778">
        <v>61033.16</v>
      </c>
      <c r="I778">
        <v>0</v>
      </c>
      <c r="J778" t="str">
        <f t="shared" si="60"/>
        <v>High</v>
      </c>
      <c r="K778" t="str">
        <f t="shared" si="61"/>
        <v>Normal</v>
      </c>
      <c r="L778">
        <f t="shared" si="62"/>
        <v>1</v>
      </c>
      <c r="M778">
        <f t="shared" si="63"/>
        <v>1</v>
      </c>
      <c r="N778" s="6">
        <f t="shared" si="64"/>
        <v>45667</v>
      </c>
    </row>
    <row r="779" spans="1:14" x14ac:dyDescent="0.3">
      <c r="A779">
        <v>234</v>
      </c>
      <c r="B779">
        <v>10052</v>
      </c>
      <c r="C779" t="s">
        <v>257</v>
      </c>
      <c r="D779" t="s">
        <v>15</v>
      </c>
      <c r="E779" t="s">
        <v>16</v>
      </c>
      <c r="F779" t="s">
        <v>17</v>
      </c>
      <c r="G779" t="s">
        <v>21</v>
      </c>
      <c r="H779">
        <v>92459.79</v>
      </c>
      <c r="I779">
        <v>0</v>
      </c>
      <c r="J779" t="str">
        <f t="shared" si="60"/>
        <v>High</v>
      </c>
      <c r="K779" t="str">
        <f t="shared" si="61"/>
        <v>Normal</v>
      </c>
      <c r="L779">
        <f t="shared" si="62"/>
        <v>1</v>
      </c>
      <c r="M779">
        <f t="shared" si="63"/>
        <v>1</v>
      </c>
      <c r="N779" s="6">
        <f t="shared" si="64"/>
        <v>45667</v>
      </c>
    </row>
    <row r="780" spans="1:14" x14ac:dyDescent="0.3">
      <c r="A780">
        <v>235</v>
      </c>
      <c r="B780">
        <v>10043</v>
      </c>
      <c r="C780" t="s">
        <v>258</v>
      </c>
      <c r="D780" t="s">
        <v>20</v>
      </c>
      <c r="E780" t="s">
        <v>11</v>
      </c>
      <c r="F780" t="s">
        <v>17</v>
      </c>
      <c r="G780" t="s">
        <v>13</v>
      </c>
      <c r="H780">
        <v>78602.679999999993</v>
      </c>
      <c r="I780">
        <v>1</v>
      </c>
      <c r="J780" t="str">
        <f t="shared" si="60"/>
        <v>High</v>
      </c>
      <c r="K780" t="str">
        <f t="shared" si="61"/>
        <v>High Risk</v>
      </c>
      <c r="L780">
        <f t="shared" si="62"/>
        <v>1</v>
      </c>
      <c r="M780">
        <f t="shared" si="63"/>
        <v>1</v>
      </c>
      <c r="N780" s="6">
        <f t="shared" si="64"/>
        <v>45667</v>
      </c>
    </row>
    <row r="781" spans="1:14" x14ac:dyDescent="0.3">
      <c r="A781">
        <v>236</v>
      </c>
      <c r="B781">
        <v>10089</v>
      </c>
      <c r="C781" t="s">
        <v>259</v>
      </c>
      <c r="D781" t="s">
        <v>15</v>
      </c>
      <c r="E781" t="s">
        <v>24</v>
      </c>
      <c r="F781" t="s">
        <v>12</v>
      </c>
      <c r="G781" t="s">
        <v>13</v>
      </c>
      <c r="H781">
        <v>59035.79</v>
      </c>
      <c r="I781">
        <v>0</v>
      </c>
      <c r="J781" t="str">
        <f t="shared" si="60"/>
        <v>High</v>
      </c>
      <c r="K781" t="str">
        <f t="shared" si="61"/>
        <v>Normal</v>
      </c>
      <c r="L781">
        <f t="shared" si="62"/>
        <v>1</v>
      </c>
      <c r="M781">
        <f t="shared" si="63"/>
        <v>1</v>
      </c>
      <c r="N781" s="6">
        <f t="shared" si="64"/>
        <v>45667</v>
      </c>
    </row>
    <row r="782" spans="1:14" x14ac:dyDescent="0.3">
      <c r="A782">
        <v>237</v>
      </c>
      <c r="B782">
        <v>10031</v>
      </c>
      <c r="C782" t="s">
        <v>260</v>
      </c>
      <c r="D782" t="s">
        <v>15</v>
      </c>
      <c r="E782" t="s">
        <v>11</v>
      </c>
      <c r="F782" t="s">
        <v>12</v>
      </c>
      <c r="G782" t="s">
        <v>18</v>
      </c>
      <c r="H782">
        <v>742.88</v>
      </c>
      <c r="I782">
        <v>0</v>
      </c>
      <c r="J782" t="str">
        <f t="shared" si="60"/>
        <v>High</v>
      </c>
      <c r="K782" t="str">
        <f t="shared" si="61"/>
        <v>Normal</v>
      </c>
      <c r="L782">
        <f t="shared" si="62"/>
        <v>1</v>
      </c>
      <c r="M782">
        <f t="shared" si="63"/>
        <v>1</v>
      </c>
      <c r="N782" s="6">
        <f t="shared" si="64"/>
        <v>45667</v>
      </c>
    </row>
    <row r="783" spans="1:14" x14ac:dyDescent="0.3">
      <c r="A783">
        <v>238</v>
      </c>
      <c r="B783">
        <v>10069</v>
      </c>
      <c r="C783" t="s">
        <v>261</v>
      </c>
      <c r="D783" t="s">
        <v>20</v>
      </c>
      <c r="E783" t="s">
        <v>11</v>
      </c>
      <c r="F783" t="s">
        <v>12</v>
      </c>
      <c r="G783" t="s">
        <v>25</v>
      </c>
      <c r="H783">
        <v>77274.38</v>
      </c>
      <c r="I783">
        <v>1</v>
      </c>
      <c r="J783" t="str">
        <f t="shared" si="60"/>
        <v>High</v>
      </c>
      <c r="K783" t="str">
        <f t="shared" si="61"/>
        <v>High Risk</v>
      </c>
      <c r="L783">
        <f t="shared" si="62"/>
        <v>1</v>
      </c>
      <c r="M783">
        <f t="shared" si="63"/>
        <v>1</v>
      </c>
      <c r="N783" s="6">
        <f t="shared" si="64"/>
        <v>45667</v>
      </c>
    </row>
    <row r="784" spans="1:14" x14ac:dyDescent="0.3">
      <c r="A784">
        <v>239</v>
      </c>
      <c r="B784">
        <v>10031</v>
      </c>
      <c r="C784" t="s">
        <v>262</v>
      </c>
      <c r="D784" t="s">
        <v>20</v>
      </c>
      <c r="E784" t="s">
        <v>16</v>
      </c>
      <c r="F784" t="s">
        <v>17</v>
      </c>
      <c r="G784" t="s">
        <v>25</v>
      </c>
      <c r="H784">
        <v>70278.59</v>
      </c>
      <c r="I784">
        <v>0</v>
      </c>
      <c r="J784" t="str">
        <f t="shared" si="60"/>
        <v>High</v>
      </c>
      <c r="K784" t="str">
        <f t="shared" si="61"/>
        <v>Normal</v>
      </c>
      <c r="L784">
        <f t="shared" si="62"/>
        <v>1</v>
      </c>
      <c r="M784">
        <f t="shared" si="63"/>
        <v>1</v>
      </c>
      <c r="N784" s="6">
        <f t="shared" si="64"/>
        <v>45667</v>
      </c>
    </row>
    <row r="785" spans="1:14" x14ac:dyDescent="0.3">
      <c r="A785">
        <v>240</v>
      </c>
      <c r="B785">
        <v>10067</v>
      </c>
      <c r="C785" t="s">
        <v>263</v>
      </c>
      <c r="D785" t="s">
        <v>29</v>
      </c>
      <c r="E785" t="s">
        <v>11</v>
      </c>
      <c r="F785" t="s">
        <v>17</v>
      </c>
      <c r="G785" t="s">
        <v>18</v>
      </c>
      <c r="H785">
        <v>61563.839999999997</v>
      </c>
      <c r="I785">
        <v>1</v>
      </c>
      <c r="J785" t="str">
        <f t="shared" si="60"/>
        <v>High</v>
      </c>
      <c r="K785" t="str">
        <f t="shared" si="61"/>
        <v>High Risk</v>
      </c>
      <c r="L785">
        <f t="shared" si="62"/>
        <v>1</v>
      </c>
      <c r="M785">
        <f t="shared" si="63"/>
        <v>1</v>
      </c>
      <c r="N785" s="6">
        <f t="shared" si="64"/>
        <v>45667</v>
      </c>
    </row>
    <row r="786" spans="1:14" x14ac:dyDescent="0.3">
      <c r="A786">
        <v>193</v>
      </c>
      <c r="B786">
        <v>10000</v>
      </c>
      <c r="C786" t="s">
        <v>216</v>
      </c>
      <c r="D786" t="s">
        <v>15</v>
      </c>
      <c r="E786" t="s">
        <v>16</v>
      </c>
      <c r="F786" t="s">
        <v>12</v>
      </c>
      <c r="G786" t="s">
        <v>18</v>
      </c>
      <c r="H786">
        <v>74186.100000000006</v>
      </c>
      <c r="I786">
        <v>0</v>
      </c>
      <c r="J786" t="str">
        <f t="shared" si="60"/>
        <v>High</v>
      </c>
      <c r="K786" t="str">
        <f t="shared" si="61"/>
        <v>Normal</v>
      </c>
      <c r="L786">
        <f t="shared" si="62"/>
        <v>1</v>
      </c>
      <c r="M786">
        <f t="shared" si="63"/>
        <v>1</v>
      </c>
      <c r="N786" s="6">
        <f t="shared" si="64"/>
        <v>45666</v>
      </c>
    </row>
    <row r="787" spans="1:14" x14ac:dyDescent="0.3">
      <c r="A787">
        <v>194</v>
      </c>
      <c r="B787">
        <v>10026</v>
      </c>
      <c r="C787" t="s">
        <v>217</v>
      </c>
      <c r="D787" t="s">
        <v>15</v>
      </c>
      <c r="E787" t="s">
        <v>11</v>
      </c>
      <c r="F787" t="s">
        <v>12</v>
      </c>
      <c r="G787" t="s">
        <v>18</v>
      </c>
      <c r="H787">
        <v>28013.65</v>
      </c>
      <c r="I787">
        <v>0</v>
      </c>
      <c r="J787" t="str">
        <f t="shared" si="60"/>
        <v>High</v>
      </c>
      <c r="K787" t="str">
        <f t="shared" si="61"/>
        <v>Normal</v>
      </c>
      <c r="L787">
        <f t="shared" si="62"/>
        <v>1</v>
      </c>
      <c r="M787">
        <f t="shared" si="63"/>
        <v>1</v>
      </c>
      <c r="N787" s="6">
        <f t="shared" si="64"/>
        <v>45666</v>
      </c>
    </row>
    <row r="788" spans="1:14" x14ac:dyDescent="0.3">
      <c r="A788">
        <v>195</v>
      </c>
      <c r="B788">
        <v>10061</v>
      </c>
      <c r="C788" t="s">
        <v>218</v>
      </c>
      <c r="D788" t="s">
        <v>23</v>
      </c>
      <c r="E788" t="s">
        <v>16</v>
      </c>
      <c r="F788" t="s">
        <v>17</v>
      </c>
      <c r="G788" t="s">
        <v>25</v>
      </c>
      <c r="H788">
        <v>13252.19</v>
      </c>
      <c r="I788">
        <v>0</v>
      </c>
      <c r="J788" t="str">
        <f t="shared" si="60"/>
        <v>High</v>
      </c>
      <c r="K788" t="str">
        <f t="shared" si="61"/>
        <v>Normal</v>
      </c>
      <c r="L788">
        <f t="shared" si="62"/>
        <v>1</v>
      </c>
      <c r="M788">
        <f t="shared" si="63"/>
        <v>1</v>
      </c>
      <c r="N788" s="6">
        <f t="shared" si="64"/>
        <v>45666</v>
      </c>
    </row>
    <row r="789" spans="1:14" x14ac:dyDescent="0.3">
      <c r="A789">
        <v>196</v>
      </c>
      <c r="B789">
        <v>10076</v>
      </c>
      <c r="C789" t="s">
        <v>219</v>
      </c>
      <c r="D789" t="s">
        <v>29</v>
      </c>
      <c r="E789" t="s">
        <v>24</v>
      </c>
      <c r="F789" t="s">
        <v>12</v>
      </c>
      <c r="G789" t="s">
        <v>25</v>
      </c>
      <c r="H789">
        <v>85484.87</v>
      </c>
      <c r="I789">
        <v>0</v>
      </c>
      <c r="J789" t="str">
        <f t="shared" si="60"/>
        <v>High</v>
      </c>
      <c r="K789" t="str">
        <f t="shared" si="61"/>
        <v>Normal</v>
      </c>
      <c r="L789">
        <f t="shared" si="62"/>
        <v>1</v>
      </c>
      <c r="M789">
        <f t="shared" si="63"/>
        <v>1</v>
      </c>
      <c r="N789" s="6">
        <f t="shared" si="64"/>
        <v>45666</v>
      </c>
    </row>
    <row r="790" spans="1:14" x14ac:dyDescent="0.3">
      <c r="A790">
        <v>197</v>
      </c>
      <c r="B790">
        <v>10002</v>
      </c>
      <c r="C790" t="s">
        <v>220</v>
      </c>
      <c r="D790" t="s">
        <v>15</v>
      </c>
      <c r="E790" t="s">
        <v>11</v>
      </c>
      <c r="F790" t="s">
        <v>17</v>
      </c>
      <c r="G790" t="s">
        <v>18</v>
      </c>
      <c r="H790">
        <v>16613.7</v>
      </c>
      <c r="I790">
        <v>0</v>
      </c>
      <c r="J790" t="str">
        <f t="shared" si="60"/>
        <v>High</v>
      </c>
      <c r="K790" t="str">
        <f t="shared" si="61"/>
        <v>Normal</v>
      </c>
      <c r="L790">
        <f t="shared" si="62"/>
        <v>1</v>
      </c>
      <c r="M790">
        <f t="shared" si="63"/>
        <v>1</v>
      </c>
      <c r="N790" s="6">
        <f t="shared" si="64"/>
        <v>45666</v>
      </c>
    </row>
    <row r="791" spans="1:14" x14ac:dyDescent="0.3">
      <c r="A791">
        <v>198</v>
      </c>
      <c r="B791">
        <v>10069</v>
      </c>
      <c r="C791" t="s">
        <v>221</v>
      </c>
      <c r="D791" t="s">
        <v>29</v>
      </c>
      <c r="E791" t="s">
        <v>16</v>
      </c>
      <c r="F791" t="s">
        <v>12</v>
      </c>
      <c r="G791" t="s">
        <v>13</v>
      </c>
      <c r="H791">
        <v>85440.65</v>
      </c>
      <c r="I791">
        <v>0</v>
      </c>
      <c r="J791" t="str">
        <f t="shared" si="60"/>
        <v>High</v>
      </c>
      <c r="K791" t="str">
        <f t="shared" si="61"/>
        <v>Normal</v>
      </c>
      <c r="L791">
        <f t="shared" si="62"/>
        <v>1</v>
      </c>
      <c r="M791">
        <f t="shared" si="63"/>
        <v>1</v>
      </c>
      <c r="N791" s="6">
        <f t="shared" si="64"/>
        <v>45666</v>
      </c>
    </row>
    <row r="792" spans="1:14" x14ac:dyDescent="0.3">
      <c r="A792">
        <v>199</v>
      </c>
      <c r="B792">
        <v>10071</v>
      </c>
      <c r="C792" t="s">
        <v>222</v>
      </c>
      <c r="D792" t="s">
        <v>15</v>
      </c>
      <c r="E792" t="s">
        <v>11</v>
      </c>
      <c r="F792" t="s">
        <v>17</v>
      </c>
      <c r="G792" t="s">
        <v>18</v>
      </c>
      <c r="H792">
        <v>49127.42</v>
      </c>
      <c r="I792">
        <v>0</v>
      </c>
      <c r="J792" t="str">
        <f t="shared" si="60"/>
        <v>High</v>
      </c>
      <c r="K792" t="str">
        <f t="shared" si="61"/>
        <v>Normal</v>
      </c>
      <c r="L792">
        <f t="shared" si="62"/>
        <v>1</v>
      </c>
      <c r="M792">
        <f t="shared" si="63"/>
        <v>1</v>
      </c>
      <c r="N792" s="6">
        <f t="shared" si="64"/>
        <v>45666</v>
      </c>
    </row>
    <row r="793" spans="1:14" x14ac:dyDescent="0.3">
      <c r="A793">
        <v>200</v>
      </c>
      <c r="B793">
        <v>10026</v>
      </c>
      <c r="C793" t="s">
        <v>223</v>
      </c>
      <c r="D793" t="s">
        <v>10</v>
      </c>
      <c r="E793" t="s">
        <v>11</v>
      </c>
      <c r="F793" t="s">
        <v>12</v>
      </c>
      <c r="G793" t="s">
        <v>31</v>
      </c>
      <c r="H793">
        <v>40715.019999999997</v>
      </c>
      <c r="I793">
        <v>0</v>
      </c>
      <c r="J793" t="str">
        <f t="shared" si="60"/>
        <v>High</v>
      </c>
      <c r="K793" t="str">
        <f t="shared" si="61"/>
        <v>Normal</v>
      </c>
      <c r="L793">
        <f t="shared" si="62"/>
        <v>1</v>
      </c>
      <c r="M793">
        <f t="shared" si="63"/>
        <v>1</v>
      </c>
      <c r="N793" s="6">
        <f t="shared" si="64"/>
        <v>45666</v>
      </c>
    </row>
    <row r="794" spans="1:14" x14ac:dyDescent="0.3">
      <c r="A794">
        <v>201</v>
      </c>
      <c r="B794">
        <v>10008</v>
      </c>
      <c r="C794" t="s">
        <v>224</v>
      </c>
      <c r="D794" t="s">
        <v>20</v>
      </c>
      <c r="E794" t="s">
        <v>24</v>
      </c>
      <c r="F794" t="s">
        <v>12</v>
      </c>
      <c r="G794" t="s">
        <v>18</v>
      </c>
      <c r="H794">
        <v>90328.76</v>
      </c>
      <c r="I794">
        <v>0</v>
      </c>
      <c r="J794" t="str">
        <f t="shared" si="60"/>
        <v>High</v>
      </c>
      <c r="K794" t="str">
        <f t="shared" si="61"/>
        <v>Normal</v>
      </c>
      <c r="L794">
        <f t="shared" si="62"/>
        <v>1</v>
      </c>
      <c r="M794">
        <f t="shared" si="63"/>
        <v>1</v>
      </c>
      <c r="N794" s="6">
        <f t="shared" si="64"/>
        <v>45666</v>
      </c>
    </row>
    <row r="795" spans="1:14" x14ac:dyDescent="0.3">
      <c r="A795">
        <v>202</v>
      </c>
      <c r="B795">
        <v>10061</v>
      </c>
      <c r="C795" t="s">
        <v>225</v>
      </c>
      <c r="D795" t="s">
        <v>15</v>
      </c>
      <c r="E795" t="s">
        <v>11</v>
      </c>
      <c r="F795" t="s">
        <v>17</v>
      </c>
      <c r="G795" t="s">
        <v>13</v>
      </c>
      <c r="H795">
        <v>60424.71</v>
      </c>
      <c r="I795">
        <v>1</v>
      </c>
      <c r="J795" t="str">
        <f t="shared" si="60"/>
        <v>High</v>
      </c>
      <c r="K795" t="str">
        <f t="shared" si="61"/>
        <v>High Risk</v>
      </c>
      <c r="L795">
        <f t="shared" si="62"/>
        <v>1</v>
      </c>
      <c r="M795">
        <f t="shared" si="63"/>
        <v>1</v>
      </c>
      <c r="N795" s="6">
        <f t="shared" si="64"/>
        <v>45666</v>
      </c>
    </row>
    <row r="796" spans="1:14" x14ac:dyDescent="0.3">
      <c r="A796">
        <v>203</v>
      </c>
      <c r="B796">
        <v>10036</v>
      </c>
      <c r="C796" t="s">
        <v>226</v>
      </c>
      <c r="D796" t="s">
        <v>29</v>
      </c>
      <c r="E796" t="s">
        <v>16</v>
      </c>
      <c r="F796" t="s">
        <v>12</v>
      </c>
      <c r="G796" t="s">
        <v>31</v>
      </c>
      <c r="H796">
        <v>57703.74</v>
      </c>
      <c r="I796">
        <v>0</v>
      </c>
      <c r="J796" t="str">
        <f t="shared" si="60"/>
        <v>High</v>
      </c>
      <c r="K796" t="str">
        <f t="shared" si="61"/>
        <v>Normal</v>
      </c>
      <c r="L796">
        <f t="shared" si="62"/>
        <v>1</v>
      </c>
      <c r="M796">
        <f t="shared" si="63"/>
        <v>1</v>
      </c>
      <c r="N796" s="6">
        <f t="shared" si="64"/>
        <v>45666</v>
      </c>
    </row>
    <row r="797" spans="1:14" x14ac:dyDescent="0.3">
      <c r="A797">
        <v>204</v>
      </c>
      <c r="B797">
        <v>10096</v>
      </c>
      <c r="C797" t="s">
        <v>227</v>
      </c>
      <c r="D797" t="s">
        <v>10</v>
      </c>
      <c r="E797" t="s">
        <v>16</v>
      </c>
      <c r="F797" t="s">
        <v>17</v>
      </c>
      <c r="G797" t="s">
        <v>21</v>
      </c>
      <c r="H797">
        <v>55920.72</v>
      </c>
      <c r="I797">
        <v>0</v>
      </c>
      <c r="J797" t="str">
        <f t="shared" si="60"/>
        <v>High</v>
      </c>
      <c r="K797" t="str">
        <f t="shared" si="61"/>
        <v>Normal</v>
      </c>
      <c r="L797">
        <f t="shared" si="62"/>
        <v>1</v>
      </c>
      <c r="M797">
        <f t="shared" si="63"/>
        <v>1</v>
      </c>
      <c r="N797" s="6">
        <f t="shared" si="64"/>
        <v>45666</v>
      </c>
    </row>
    <row r="798" spans="1:14" x14ac:dyDescent="0.3">
      <c r="A798">
        <v>205</v>
      </c>
      <c r="B798">
        <v>10050</v>
      </c>
      <c r="C798" t="s">
        <v>228</v>
      </c>
      <c r="D798" t="s">
        <v>15</v>
      </c>
      <c r="E798" t="s">
        <v>16</v>
      </c>
      <c r="F798" t="s">
        <v>17</v>
      </c>
      <c r="G798" t="s">
        <v>21</v>
      </c>
      <c r="H798">
        <v>37179.83</v>
      </c>
      <c r="I798">
        <v>0</v>
      </c>
      <c r="J798" t="str">
        <f t="shared" si="60"/>
        <v>High</v>
      </c>
      <c r="K798" t="str">
        <f t="shared" si="61"/>
        <v>Normal</v>
      </c>
      <c r="L798">
        <f t="shared" si="62"/>
        <v>1</v>
      </c>
      <c r="M798">
        <f t="shared" si="63"/>
        <v>1</v>
      </c>
      <c r="N798" s="6">
        <f t="shared" si="64"/>
        <v>45666</v>
      </c>
    </row>
    <row r="799" spans="1:14" x14ac:dyDescent="0.3">
      <c r="A799">
        <v>206</v>
      </c>
      <c r="B799">
        <v>10043</v>
      </c>
      <c r="C799" t="s">
        <v>229</v>
      </c>
      <c r="D799" t="s">
        <v>23</v>
      </c>
      <c r="E799" t="s">
        <v>16</v>
      </c>
      <c r="F799" t="s">
        <v>17</v>
      </c>
      <c r="G799" t="s">
        <v>13</v>
      </c>
      <c r="H799">
        <v>78585.75</v>
      </c>
      <c r="I799">
        <v>0</v>
      </c>
      <c r="J799" t="str">
        <f t="shared" si="60"/>
        <v>High</v>
      </c>
      <c r="K799" t="str">
        <f t="shared" si="61"/>
        <v>Normal</v>
      </c>
      <c r="L799">
        <f t="shared" si="62"/>
        <v>1</v>
      </c>
      <c r="M799">
        <f t="shared" si="63"/>
        <v>1</v>
      </c>
      <c r="N799" s="6">
        <f t="shared" si="64"/>
        <v>45666</v>
      </c>
    </row>
    <row r="800" spans="1:14" x14ac:dyDescent="0.3">
      <c r="A800">
        <v>207</v>
      </c>
      <c r="B800">
        <v>10023</v>
      </c>
      <c r="C800" t="s">
        <v>230</v>
      </c>
      <c r="D800" t="s">
        <v>20</v>
      </c>
      <c r="E800" t="s">
        <v>24</v>
      </c>
      <c r="F800" t="s">
        <v>17</v>
      </c>
      <c r="G800" t="s">
        <v>18</v>
      </c>
      <c r="H800">
        <v>25354.560000000001</v>
      </c>
      <c r="I800">
        <v>0</v>
      </c>
      <c r="J800" t="str">
        <f t="shared" si="60"/>
        <v>High</v>
      </c>
      <c r="K800" t="str">
        <f t="shared" si="61"/>
        <v>Normal</v>
      </c>
      <c r="L800">
        <f t="shared" si="62"/>
        <v>1</v>
      </c>
      <c r="M800">
        <f t="shared" si="63"/>
        <v>1</v>
      </c>
      <c r="N800" s="6">
        <f t="shared" si="64"/>
        <v>45666</v>
      </c>
    </row>
    <row r="801" spans="1:14" x14ac:dyDescent="0.3">
      <c r="A801">
        <v>208</v>
      </c>
      <c r="B801">
        <v>10078</v>
      </c>
      <c r="C801" t="s">
        <v>231</v>
      </c>
      <c r="D801" t="s">
        <v>15</v>
      </c>
      <c r="E801" t="s">
        <v>11</v>
      </c>
      <c r="F801" t="s">
        <v>17</v>
      </c>
      <c r="G801" t="s">
        <v>25</v>
      </c>
      <c r="H801">
        <v>93895.61</v>
      </c>
      <c r="I801">
        <v>1</v>
      </c>
      <c r="J801" t="str">
        <f t="shared" si="60"/>
        <v>High</v>
      </c>
      <c r="K801" t="str">
        <f t="shared" si="61"/>
        <v>High Risk</v>
      </c>
      <c r="L801">
        <f t="shared" si="62"/>
        <v>1</v>
      </c>
      <c r="M801">
        <f t="shared" si="63"/>
        <v>1</v>
      </c>
      <c r="N801" s="6">
        <f t="shared" si="64"/>
        <v>45666</v>
      </c>
    </row>
    <row r="802" spans="1:14" x14ac:dyDescent="0.3">
      <c r="A802">
        <v>209</v>
      </c>
      <c r="B802">
        <v>10058</v>
      </c>
      <c r="C802" t="s">
        <v>232</v>
      </c>
      <c r="D802" t="s">
        <v>10</v>
      </c>
      <c r="E802" t="s">
        <v>24</v>
      </c>
      <c r="F802" t="s">
        <v>12</v>
      </c>
      <c r="G802" t="s">
        <v>13</v>
      </c>
      <c r="H802">
        <v>89409.12</v>
      </c>
      <c r="I802">
        <v>0</v>
      </c>
      <c r="J802" t="str">
        <f t="shared" si="60"/>
        <v>High</v>
      </c>
      <c r="K802" t="str">
        <f t="shared" si="61"/>
        <v>Normal</v>
      </c>
      <c r="L802">
        <f t="shared" si="62"/>
        <v>1</v>
      </c>
      <c r="M802">
        <f t="shared" si="63"/>
        <v>1</v>
      </c>
      <c r="N802" s="6">
        <f t="shared" si="64"/>
        <v>45666</v>
      </c>
    </row>
    <row r="803" spans="1:14" x14ac:dyDescent="0.3">
      <c r="A803">
        <v>210</v>
      </c>
      <c r="B803">
        <v>10031</v>
      </c>
      <c r="C803" t="s">
        <v>233</v>
      </c>
      <c r="D803" t="s">
        <v>23</v>
      </c>
      <c r="E803" t="s">
        <v>11</v>
      </c>
      <c r="F803" t="s">
        <v>12</v>
      </c>
      <c r="G803" t="s">
        <v>31</v>
      </c>
      <c r="H803">
        <v>33814.28</v>
      </c>
      <c r="I803">
        <v>0</v>
      </c>
      <c r="J803" t="str">
        <f t="shared" si="60"/>
        <v>High</v>
      </c>
      <c r="K803" t="str">
        <f t="shared" si="61"/>
        <v>Normal</v>
      </c>
      <c r="L803">
        <f t="shared" si="62"/>
        <v>1</v>
      </c>
      <c r="M803">
        <f t="shared" si="63"/>
        <v>1</v>
      </c>
      <c r="N803" s="6">
        <f t="shared" si="64"/>
        <v>45666</v>
      </c>
    </row>
    <row r="804" spans="1:14" x14ac:dyDescent="0.3">
      <c r="A804">
        <v>211</v>
      </c>
      <c r="B804">
        <v>10095</v>
      </c>
      <c r="C804" t="s">
        <v>234</v>
      </c>
      <c r="D804" t="s">
        <v>10</v>
      </c>
      <c r="E804" t="s">
        <v>11</v>
      </c>
      <c r="F804" t="s">
        <v>17</v>
      </c>
      <c r="G804" t="s">
        <v>31</v>
      </c>
      <c r="H804">
        <v>72973.429999999993</v>
      </c>
      <c r="I804">
        <v>1</v>
      </c>
      <c r="J804" t="str">
        <f t="shared" si="60"/>
        <v>High</v>
      </c>
      <c r="K804" t="str">
        <f t="shared" si="61"/>
        <v>High Risk</v>
      </c>
      <c r="L804">
        <f t="shared" si="62"/>
        <v>1</v>
      </c>
      <c r="M804">
        <f t="shared" si="63"/>
        <v>1</v>
      </c>
      <c r="N804" s="6">
        <f t="shared" si="64"/>
        <v>45666</v>
      </c>
    </row>
    <row r="805" spans="1:14" x14ac:dyDescent="0.3">
      <c r="A805">
        <v>212</v>
      </c>
      <c r="B805">
        <v>10087</v>
      </c>
      <c r="C805" t="s">
        <v>235</v>
      </c>
      <c r="D805" t="s">
        <v>10</v>
      </c>
      <c r="E805" t="s">
        <v>11</v>
      </c>
      <c r="F805" t="s">
        <v>12</v>
      </c>
      <c r="G805" t="s">
        <v>21</v>
      </c>
      <c r="H805">
        <v>57365</v>
      </c>
      <c r="I805">
        <v>1</v>
      </c>
      <c r="J805" t="str">
        <f t="shared" si="60"/>
        <v>High</v>
      </c>
      <c r="K805" t="str">
        <f t="shared" si="61"/>
        <v>High Risk</v>
      </c>
      <c r="L805">
        <f t="shared" si="62"/>
        <v>1</v>
      </c>
      <c r="M805">
        <f t="shared" si="63"/>
        <v>1</v>
      </c>
      <c r="N805" s="6">
        <f t="shared" si="64"/>
        <v>45666</v>
      </c>
    </row>
    <row r="806" spans="1:14" x14ac:dyDescent="0.3">
      <c r="A806">
        <v>213</v>
      </c>
      <c r="B806">
        <v>10051</v>
      </c>
      <c r="C806" t="s">
        <v>236</v>
      </c>
      <c r="D806" t="s">
        <v>23</v>
      </c>
      <c r="E806" t="s">
        <v>24</v>
      </c>
      <c r="F806" t="s">
        <v>17</v>
      </c>
      <c r="G806" t="s">
        <v>31</v>
      </c>
      <c r="H806">
        <v>33831.17</v>
      </c>
      <c r="I806">
        <v>0</v>
      </c>
      <c r="J806" t="str">
        <f t="shared" si="60"/>
        <v>High</v>
      </c>
      <c r="K806" t="str">
        <f t="shared" si="61"/>
        <v>Normal</v>
      </c>
      <c r="L806">
        <f t="shared" si="62"/>
        <v>1</v>
      </c>
      <c r="M806">
        <f t="shared" si="63"/>
        <v>1</v>
      </c>
      <c r="N806" s="6">
        <f t="shared" si="64"/>
        <v>45666</v>
      </c>
    </row>
    <row r="807" spans="1:14" x14ac:dyDescent="0.3">
      <c r="A807">
        <v>214</v>
      </c>
      <c r="B807">
        <v>10061</v>
      </c>
      <c r="C807" t="s">
        <v>237</v>
      </c>
      <c r="D807" t="s">
        <v>10</v>
      </c>
      <c r="E807" t="s">
        <v>11</v>
      </c>
      <c r="F807" t="s">
        <v>12</v>
      </c>
      <c r="G807" t="s">
        <v>13</v>
      </c>
      <c r="H807">
        <v>98853.31</v>
      </c>
      <c r="I807">
        <v>1</v>
      </c>
      <c r="J807" t="str">
        <f t="shared" si="60"/>
        <v>High</v>
      </c>
      <c r="K807" t="str">
        <f t="shared" si="61"/>
        <v>High Risk</v>
      </c>
      <c r="L807">
        <f t="shared" si="62"/>
        <v>1</v>
      </c>
      <c r="M807">
        <f t="shared" si="63"/>
        <v>1</v>
      </c>
      <c r="N807" s="6">
        <f t="shared" si="64"/>
        <v>45666</v>
      </c>
    </row>
    <row r="808" spans="1:14" x14ac:dyDescent="0.3">
      <c r="A808">
        <v>215</v>
      </c>
      <c r="B808">
        <v>10057</v>
      </c>
      <c r="C808" t="s">
        <v>238</v>
      </c>
      <c r="D808" t="s">
        <v>23</v>
      </c>
      <c r="E808" t="s">
        <v>24</v>
      </c>
      <c r="F808" t="s">
        <v>12</v>
      </c>
      <c r="G808" t="s">
        <v>31</v>
      </c>
      <c r="H808">
        <v>2621.21</v>
      </c>
      <c r="I808">
        <v>0</v>
      </c>
      <c r="J808" t="str">
        <f t="shared" si="60"/>
        <v>High</v>
      </c>
      <c r="K808" t="str">
        <f t="shared" si="61"/>
        <v>Normal</v>
      </c>
      <c r="L808">
        <f t="shared" si="62"/>
        <v>1</v>
      </c>
      <c r="M808">
        <f t="shared" si="63"/>
        <v>1</v>
      </c>
      <c r="N808" s="6">
        <f t="shared" si="64"/>
        <v>45666</v>
      </c>
    </row>
    <row r="809" spans="1:14" x14ac:dyDescent="0.3">
      <c r="A809">
        <v>216</v>
      </c>
      <c r="B809">
        <v>10051</v>
      </c>
      <c r="C809" t="s">
        <v>239</v>
      </c>
      <c r="D809" t="s">
        <v>15</v>
      </c>
      <c r="E809" t="s">
        <v>16</v>
      </c>
      <c r="F809" t="s">
        <v>12</v>
      </c>
      <c r="G809" t="s">
        <v>13</v>
      </c>
      <c r="H809">
        <v>25339.34</v>
      </c>
      <c r="I809">
        <v>0</v>
      </c>
      <c r="J809" t="str">
        <f t="shared" si="60"/>
        <v>High</v>
      </c>
      <c r="K809" t="str">
        <f t="shared" si="61"/>
        <v>Normal</v>
      </c>
      <c r="L809">
        <f t="shared" si="62"/>
        <v>1</v>
      </c>
      <c r="M809">
        <f t="shared" si="63"/>
        <v>1</v>
      </c>
      <c r="N809" s="6">
        <f t="shared" si="64"/>
        <v>45666</v>
      </c>
    </row>
    <row r="810" spans="1:14" x14ac:dyDescent="0.3">
      <c r="A810">
        <v>169</v>
      </c>
      <c r="B810">
        <v>10035</v>
      </c>
      <c r="C810" t="s">
        <v>192</v>
      </c>
      <c r="D810" t="s">
        <v>15</v>
      </c>
      <c r="E810" t="s">
        <v>24</v>
      </c>
      <c r="F810" t="s">
        <v>17</v>
      </c>
      <c r="G810" t="s">
        <v>31</v>
      </c>
      <c r="H810">
        <v>94047.88</v>
      </c>
      <c r="I810">
        <v>0</v>
      </c>
      <c r="J810" t="str">
        <f t="shared" si="60"/>
        <v>High</v>
      </c>
      <c r="K810" t="str">
        <f t="shared" si="61"/>
        <v>Normal</v>
      </c>
      <c r="L810">
        <f t="shared" si="62"/>
        <v>1</v>
      </c>
      <c r="M810">
        <f t="shared" si="63"/>
        <v>1</v>
      </c>
      <c r="N810" s="6">
        <f t="shared" si="64"/>
        <v>45665</v>
      </c>
    </row>
    <row r="811" spans="1:14" x14ac:dyDescent="0.3">
      <c r="A811">
        <v>170</v>
      </c>
      <c r="B811">
        <v>10012</v>
      </c>
      <c r="C811" t="s">
        <v>193</v>
      </c>
      <c r="D811" t="s">
        <v>15</v>
      </c>
      <c r="E811" t="s">
        <v>11</v>
      </c>
      <c r="F811" t="s">
        <v>12</v>
      </c>
      <c r="G811" t="s">
        <v>13</v>
      </c>
      <c r="H811">
        <v>1680.73</v>
      </c>
      <c r="I811">
        <v>0</v>
      </c>
      <c r="J811" t="str">
        <f t="shared" si="60"/>
        <v>High</v>
      </c>
      <c r="K811" t="str">
        <f t="shared" si="61"/>
        <v>Normal</v>
      </c>
      <c r="L811">
        <f t="shared" si="62"/>
        <v>1</v>
      </c>
      <c r="M811">
        <f t="shared" si="63"/>
        <v>1</v>
      </c>
      <c r="N811" s="6">
        <f t="shared" si="64"/>
        <v>45665</v>
      </c>
    </row>
    <row r="812" spans="1:14" x14ac:dyDescent="0.3">
      <c r="A812">
        <v>171</v>
      </c>
      <c r="B812">
        <v>10031</v>
      </c>
      <c r="C812" t="s">
        <v>194</v>
      </c>
      <c r="D812" t="s">
        <v>20</v>
      </c>
      <c r="E812" t="s">
        <v>16</v>
      </c>
      <c r="F812" t="s">
        <v>17</v>
      </c>
      <c r="G812" t="s">
        <v>13</v>
      </c>
      <c r="H812">
        <v>52323.74</v>
      </c>
      <c r="I812">
        <v>0</v>
      </c>
      <c r="J812" t="str">
        <f t="shared" si="60"/>
        <v>High</v>
      </c>
      <c r="K812" t="str">
        <f t="shared" si="61"/>
        <v>Normal</v>
      </c>
      <c r="L812">
        <f t="shared" si="62"/>
        <v>1</v>
      </c>
      <c r="M812">
        <f t="shared" si="63"/>
        <v>1</v>
      </c>
      <c r="N812" s="6">
        <f t="shared" si="64"/>
        <v>45665</v>
      </c>
    </row>
    <row r="813" spans="1:14" x14ac:dyDescent="0.3">
      <c r="A813">
        <v>172</v>
      </c>
      <c r="B813">
        <v>10070</v>
      </c>
      <c r="C813" t="s">
        <v>195</v>
      </c>
      <c r="D813" t="s">
        <v>23</v>
      </c>
      <c r="E813" t="s">
        <v>24</v>
      </c>
      <c r="F813" t="s">
        <v>17</v>
      </c>
      <c r="G813" t="s">
        <v>21</v>
      </c>
      <c r="H813">
        <v>47139.65</v>
      </c>
      <c r="I813">
        <v>0</v>
      </c>
      <c r="J813" t="str">
        <f t="shared" si="60"/>
        <v>High</v>
      </c>
      <c r="K813" t="str">
        <f t="shared" si="61"/>
        <v>Normal</v>
      </c>
      <c r="L813">
        <f t="shared" si="62"/>
        <v>1</v>
      </c>
      <c r="M813">
        <f t="shared" si="63"/>
        <v>1</v>
      </c>
      <c r="N813" s="6">
        <f t="shared" si="64"/>
        <v>45665</v>
      </c>
    </row>
    <row r="814" spans="1:14" x14ac:dyDescent="0.3">
      <c r="A814">
        <v>173</v>
      </c>
      <c r="B814">
        <v>10058</v>
      </c>
      <c r="C814" t="s">
        <v>196</v>
      </c>
      <c r="D814" t="s">
        <v>20</v>
      </c>
      <c r="E814" t="s">
        <v>24</v>
      </c>
      <c r="F814" t="s">
        <v>12</v>
      </c>
      <c r="G814" t="s">
        <v>21</v>
      </c>
      <c r="H814">
        <v>65639.899999999994</v>
      </c>
      <c r="I814">
        <v>0</v>
      </c>
      <c r="J814" t="str">
        <f t="shared" si="60"/>
        <v>High</v>
      </c>
      <c r="K814" t="str">
        <f t="shared" si="61"/>
        <v>Normal</v>
      </c>
      <c r="L814">
        <f t="shared" si="62"/>
        <v>1</v>
      </c>
      <c r="M814">
        <f t="shared" si="63"/>
        <v>1</v>
      </c>
      <c r="N814" s="6">
        <f t="shared" si="64"/>
        <v>45665</v>
      </c>
    </row>
    <row r="815" spans="1:14" x14ac:dyDescent="0.3">
      <c r="A815">
        <v>174</v>
      </c>
      <c r="B815">
        <v>10085</v>
      </c>
      <c r="C815" t="s">
        <v>197</v>
      </c>
      <c r="D815" t="s">
        <v>20</v>
      </c>
      <c r="E815" t="s">
        <v>11</v>
      </c>
      <c r="F815" t="s">
        <v>12</v>
      </c>
      <c r="G815" t="s">
        <v>31</v>
      </c>
      <c r="H815">
        <v>56001.93</v>
      </c>
      <c r="I815">
        <v>1</v>
      </c>
      <c r="J815" t="str">
        <f t="shared" si="60"/>
        <v>High</v>
      </c>
      <c r="K815" t="str">
        <f t="shared" si="61"/>
        <v>High Risk</v>
      </c>
      <c r="L815">
        <f t="shared" si="62"/>
        <v>1</v>
      </c>
      <c r="M815">
        <f t="shared" si="63"/>
        <v>1</v>
      </c>
      <c r="N815" s="6">
        <f t="shared" si="64"/>
        <v>45665</v>
      </c>
    </row>
    <row r="816" spans="1:14" x14ac:dyDescent="0.3">
      <c r="A816">
        <v>175</v>
      </c>
      <c r="B816">
        <v>10027</v>
      </c>
      <c r="C816" t="s">
        <v>198</v>
      </c>
      <c r="D816" t="s">
        <v>20</v>
      </c>
      <c r="E816" t="s">
        <v>11</v>
      </c>
      <c r="F816" t="s">
        <v>17</v>
      </c>
      <c r="G816" t="s">
        <v>31</v>
      </c>
      <c r="H816">
        <v>68735.210000000006</v>
      </c>
      <c r="I816">
        <v>1</v>
      </c>
      <c r="J816" t="str">
        <f t="shared" si="60"/>
        <v>High</v>
      </c>
      <c r="K816" t="str">
        <f t="shared" si="61"/>
        <v>High Risk</v>
      </c>
      <c r="L816">
        <f t="shared" si="62"/>
        <v>1</v>
      </c>
      <c r="M816">
        <f t="shared" si="63"/>
        <v>1</v>
      </c>
      <c r="N816" s="6">
        <f t="shared" si="64"/>
        <v>45665</v>
      </c>
    </row>
    <row r="817" spans="1:14" x14ac:dyDescent="0.3">
      <c r="A817">
        <v>176</v>
      </c>
      <c r="B817">
        <v>10065</v>
      </c>
      <c r="C817" t="s">
        <v>199</v>
      </c>
      <c r="D817" t="s">
        <v>20</v>
      </c>
      <c r="E817" t="s">
        <v>24</v>
      </c>
      <c r="F817" t="s">
        <v>17</v>
      </c>
      <c r="G817" t="s">
        <v>21</v>
      </c>
      <c r="H817">
        <v>65842.45</v>
      </c>
      <c r="I817">
        <v>0</v>
      </c>
      <c r="J817" t="str">
        <f t="shared" si="60"/>
        <v>High</v>
      </c>
      <c r="K817" t="str">
        <f t="shared" si="61"/>
        <v>Normal</v>
      </c>
      <c r="L817">
        <f t="shared" si="62"/>
        <v>1</v>
      </c>
      <c r="M817">
        <f t="shared" si="63"/>
        <v>1</v>
      </c>
      <c r="N817" s="6">
        <f t="shared" si="64"/>
        <v>45665</v>
      </c>
    </row>
    <row r="818" spans="1:14" x14ac:dyDescent="0.3">
      <c r="A818">
        <v>177</v>
      </c>
      <c r="B818">
        <v>10041</v>
      </c>
      <c r="C818" t="s">
        <v>200</v>
      </c>
      <c r="D818" t="s">
        <v>29</v>
      </c>
      <c r="E818" t="s">
        <v>11</v>
      </c>
      <c r="F818" t="s">
        <v>12</v>
      </c>
      <c r="G818" t="s">
        <v>21</v>
      </c>
      <c r="H818">
        <v>11789.47</v>
      </c>
      <c r="I818">
        <v>0</v>
      </c>
      <c r="J818" t="str">
        <f t="shared" si="60"/>
        <v>High</v>
      </c>
      <c r="K818" t="str">
        <f t="shared" si="61"/>
        <v>Normal</v>
      </c>
      <c r="L818">
        <f t="shared" si="62"/>
        <v>1</v>
      </c>
      <c r="M818">
        <f t="shared" si="63"/>
        <v>1</v>
      </c>
      <c r="N818" s="6">
        <f t="shared" si="64"/>
        <v>45665</v>
      </c>
    </row>
    <row r="819" spans="1:14" x14ac:dyDescent="0.3">
      <c r="A819">
        <v>178</v>
      </c>
      <c r="B819">
        <v>10044</v>
      </c>
      <c r="C819" t="s">
        <v>201</v>
      </c>
      <c r="D819" t="s">
        <v>29</v>
      </c>
      <c r="E819" t="s">
        <v>24</v>
      </c>
      <c r="F819" t="s">
        <v>17</v>
      </c>
      <c r="G819" t="s">
        <v>25</v>
      </c>
      <c r="H819">
        <v>79991.820000000007</v>
      </c>
      <c r="I819">
        <v>0</v>
      </c>
      <c r="J819" t="str">
        <f t="shared" si="60"/>
        <v>High</v>
      </c>
      <c r="K819" t="str">
        <f t="shared" si="61"/>
        <v>Normal</v>
      </c>
      <c r="L819">
        <f t="shared" si="62"/>
        <v>1</v>
      </c>
      <c r="M819">
        <f t="shared" si="63"/>
        <v>1</v>
      </c>
      <c r="N819" s="6">
        <f t="shared" si="64"/>
        <v>45665</v>
      </c>
    </row>
    <row r="820" spans="1:14" x14ac:dyDescent="0.3">
      <c r="A820">
        <v>179</v>
      </c>
      <c r="B820">
        <v>10061</v>
      </c>
      <c r="C820" t="s">
        <v>202</v>
      </c>
      <c r="D820" t="s">
        <v>10</v>
      </c>
      <c r="E820" t="s">
        <v>16</v>
      </c>
      <c r="F820" t="s">
        <v>17</v>
      </c>
      <c r="G820" t="s">
        <v>25</v>
      </c>
      <c r="H820">
        <v>12410.93</v>
      </c>
      <c r="I820">
        <v>0</v>
      </c>
      <c r="J820" t="str">
        <f t="shared" si="60"/>
        <v>High</v>
      </c>
      <c r="K820" t="str">
        <f t="shared" si="61"/>
        <v>Normal</v>
      </c>
      <c r="L820">
        <f t="shared" si="62"/>
        <v>1</v>
      </c>
      <c r="M820">
        <f t="shared" si="63"/>
        <v>1</v>
      </c>
      <c r="N820" s="6">
        <f t="shared" si="64"/>
        <v>45665</v>
      </c>
    </row>
    <row r="821" spans="1:14" x14ac:dyDescent="0.3">
      <c r="A821">
        <v>180</v>
      </c>
      <c r="B821">
        <v>10056</v>
      </c>
      <c r="C821" t="s">
        <v>203</v>
      </c>
      <c r="D821" t="s">
        <v>15</v>
      </c>
      <c r="E821" t="s">
        <v>11</v>
      </c>
      <c r="F821" t="s">
        <v>17</v>
      </c>
      <c r="G821" t="s">
        <v>21</v>
      </c>
      <c r="H821">
        <v>69883.210000000006</v>
      </c>
      <c r="I821">
        <v>1</v>
      </c>
      <c r="J821" t="str">
        <f t="shared" si="60"/>
        <v>High</v>
      </c>
      <c r="K821" t="str">
        <f t="shared" si="61"/>
        <v>High Risk</v>
      </c>
      <c r="L821">
        <f t="shared" si="62"/>
        <v>1</v>
      </c>
      <c r="M821">
        <f t="shared" si="63"/>
        <v>1</v>
      </c>
      <c r="N821" s="6">
        <f t="shared" si="64"/>
        <v>45665</v>
      </c>
    </row>
    <row r="822" spans="1:14" x14ac:dyDescent="0.3">
      <c r="A822">
        <v>181</v>
      </c>
      <c r="B822">
        <v>10005</v>
      </c>
      <c r="C822" t="s">
        <v>204</v>
      </c>
      <c r="D822" t="s">
        <v>20</v>
      </c>
      <c r="E822" t="s">
        <v>24</v>
      </c>
      <c r="F822" t="s">
        <v>12</v>
      </c>
      <c r="G822" t="s">
        <v>25</v>
      </c>
      <c r="H822">
        <v>41672.92</v>
      </c>
      <c r="I822">
        <v>0</v>
      </c>
      <c r="J822" t="str">
        <f t="shared" si="60"/>
        <v>High</v>
      </c>
      <c r="K822" t="str">
        <f t="shared" si="61"/>
        <v>Normal</v>
      </c>
      <c r="L822">
        <f t="shared" si="62"/>
        <v>1</v>
      </c>
      <c r="M822">
        <f t="shared" si="63"/>
        <v>1</v>
      </c>
      <c r="N822" s="6">
        <f t="shared" si="64"/>
        <v>45665</v>
      </c>
    </row>
    <row r="823" spans="1:14" x14ac:dyDescent="0.3">
      <c r="A823">
        <v>182</v>
      </c>
      <c r="B823">
        <v>10027</v>
      </c>
      <c r="C823" t="s">
        <v>205</v>
      </c>
      <c r="D823" t="s">
        <v>10</v>
      </c>
      <c r="E823" t="s">
        <v>16</v>
      </c>
      <c r="F823" t="s">
        <v>17</v>
      </c>
      <c r="G823" t="s">
        <v>18</v>
      </c>
      <c r="H823">
        <v>51433.69</v>
      </c>
      <c r="I823">
        <v>0</v>
      </c>
      <c r="J823" t="str">
        <f t="shared" si="60"/>
        <v>High</v>
      </c>
      <c r="K823" t="str">
        <f t="shared" si="61"/>
        <v>Normal</v>
      </c>
      <c r="L823">
        <f t="shared" si="62"/>
        <v>1</v>
      </c>
      <c r="M823">
        <f t="shared" si="63"/>
        <v>1</v>
      </c>
      <c r="N823" s="6">
        <f t="shared" si="64"/>
        <v>45665</v>
      </c>
    </row>
    <row r="824" spans="1:14" x14ac:dyDescent="0.3">
      <c r="A824">
        <v>183</v>
      </c>
      <c r="B824">
        <v>10027</v>
      </c>
      <c r="C824" t="s">
        <v>206</v>
      </c>
      <c r="D824" t="s">
        <v>15</v>
      </c>
      <c r="E824" t="s">
        <v>16</v>
      </c>
      <c r="F824" t="s">
        <v>17</v>
      </c>
      <c r="G824" t="s">
        <v>31</v>
      </c>
      <c r="H824">
        <v>90339.47</v>
      </c>
      <c r="I824">
        <v>0</v>
      </c>
      <c r="J824" t="str">
        <f t="shared" si="60"/>
        <v>High</v>
      </c>
      <c r="K824" t="str">
        <f t="shared" si="61"/>
        <v>Normal</v>
      </c>
      <c r="L824">
        <f t="shared" si="62"/>
        <v>1</v>
      </c>
      <c r="M824">
        <f t="shared" si="63"/>
        <v>1</v>
      </c>
      <c r="N824" s="6">
        <f t="shared" si="64"/>
        <v>45665</v>
      </c>
    </row>
    <row r="825" spans="1:14" x14ac:dyDescent="0.3">
      <c r="A825">
        <v>184</v>
      </c>
      <c r="B825">
        <v>10043</v>
      </c>
      <c r="C825" t="s">
        <v>207</v>
      </c>
      <c r="D825" t="s">
        <v>23</v>
      </c>
      <c r="E825" t="s">
        <v>24</v>
      </c>
      <c r="F825" t="s">
        <v>12</v>
      </c>
      <c r="G825" t="s">
        <v>31</v>
      </c>
      <c r="H825">
        <v>88999.38</v>
      </c>
      <c r="I825">
        <v>0</v>
      </c>
      <c r="J825" t="str">
        <f t="shared" si="60"/>
        <v>High</v>
      </c>
      <c r="K825" t="str">
        <f t="shared" si="61"/>
        <v>Normal</v>
      </c>
      <c r="L825">
        <f t="shared" si="62"/>
        <v>1</v>
      </c>
      <c r="M825">
        <f t="shared" si="63"/>
        <v>1</v>
      </c>
      <c r="N825" s="6">
        <f t="shared" si="64"/>
        <v>45665</v>
      </c>
    </row>
    <row r="826" spans="1:14" x14ac:dyDescent="0.3">
      <c r="A826">
        <v>185</v>
      </c>
      <c r="B826">
        <v>10083</v>
      </c>
      <c r="C826" t="s">
        <v>208</v>
      </c>
      <c r="D826" t="s">
        <v>29</v>
      </c>
      <c r="E826" t="s">
        <v>11</v>
      </c>
      <c r="F826" t="s">
        <v>17</v>
      </c>
      <c r="G826" t="s">
        <v>21</v>
      </c>
      <c r="H826">
        <v>81803.839999999997</v>
      </c>
      <c r="I826">
        <v>1</v>
      </c>
      <c r="J826" t="str">
        <f t="shared" si="60"/>
        <v>High</v>
      </c>
      <c r="K826" t="str">
        <f t="shared" si="61"/>
        <v>High Risk</v>
      </c>
      <c r="L826">
        <f t="shared" si="62"/>
        <v>1</v>
      </c>
      <c r="M826">
        <f t="shared" si="63"/>
        <v>1</v>
      </c>
      <c r="N826" s="6">
        <f t="shared" si="64"/>
        <v>45665</v>
      </c>
    </row>
    <row r="827" spans="1:14" x14ac:dyDescent="0.3">
      <c r="A827">
        <v>186</v>
      </c>
      <c r="B827">
        <v>10029</v>
      </c>
      <c r="C827" t="s">
        <v>209</v>
      </c>
      <c r="D827" t="s">
        <v>15</v>
      </c>
      <c r="E827" t="s">
        <v>24</v>
      </c>
      <c r="F827" t="s">
        <v>17</v>
      </c>
      <c r="G827" t="s">
        <v>13</v>
      </c>
      <c r="H827">
        <v>51063.82</v>
      </c>
      <c r="I827">
        <v>0</v>
      </c>
      <c r="J827" t="str">
        <f t="shared" si="60"/>
        <v>High</v>
      </c>
      <c r="K827" t="str">
        <f t="shared" si="61"/>
        <v>Normal</v>
      </c>
      <c r="L827">
        <f t="shared" si="62"/>
        <v>1</v>
      </c>
      <c r="M827">
        <f t="shared" si="63"/>
        <v>1</v>
      </c>
      <c r="N827" s="6">
        <f t="shared" si="64"/>
        <v>45665</v>
      </c>
    </row>
    <row r="828" spans="1:14" x14ac:dyDescent="0.3">
      <c r="A828">
        <v>187</v>
      </c>
      <c r="B828">
        <v>10061</v>
      </c>
      <c r="C828" t="s">
        <v>210</v>
      </c>
      <c r="D828" t="s">
        <v>23</v>
      </c>
      <c r="E828" t="s">
        <v>16</v>
      </c>
      <c r="F828" t="s">
        <v>12</v>
      </c>
      <c r="G828" t="s">
        <v>21</v>
      </c>
      <c r="H828">
        <v>73650.36</v>
      </c>
      <c r="I828">
        <v>0</v>
      </c>
      <c r="J828" t="str">
        <f t="shared" si="60"/>
        <v>High</v>
      </c>
      <c r="K828" t="str">
        <f t="shared" si="61"/>
        <v>Normal</v>
      </c>
      <c r="L828">
        <f t="shared" si="62"/>
        <v>1</v>
      </c>
      <c r="M828">
        <f t="shared" si="63"/>
        <v>1</v>
      </c>
      <c r="N828" s="6">
        <f t="shared" si="64"/>
        <v>45665</v>
      </c>
    </row>
    <row r="829" spans="1:14" x14ac:dyDescent="0.3">
      <c r="A829">
        <v>188</v>
      </c>
      <c r="B829">
        <v>10074</v>
      </c>
      <c r="C829" t="s">
        <v>211</v>
      </c>
      <c r="D829" t="s">
        <v>15</v>
      </c>
      <c r="E829" t="s">
        <v>24</v>
      </c>
      <c r="F829" t="s">
        <v>12</v>
      </c>
      <c r="G829" t="s">
        <v>25</v>
      </c>
      <c r="H829">
        <v>51338.42</v>
      </c>
      <c r="I829">
        <v>0</v>
      </c>
      <c r="J829" t="str">
        <f t="shared" si="60"/>
        <v>High</v>
      </c>
      <c r="K829" t="str">
        <f t="shared" si="61"/>
        <v>Normal</v>
      </c>
      <c r="L829">
        <f t="shared" si="62"/>
        <v>1</v>
      </c>
      <c r="M829">
        <f t="shared" si="63"/>
        <v>1</v>
      </c>
      <c r="N829" s="6">
        <f t="shared" si="64"/>
        <v>45665</v>
      </c>
    </row>
    <row r="830" spans="1:14" x14ac:dyDescent="0.3">
      <c r="A830">
        <v>189</v>
      </c>
      <c r="B830">
        <v>10091</v>
      </c>
      <c r="C830" t="s">
        <v>212</v>
      </c>
      <c r="D830" t="s">
        <v>29</v>
      </c>
      <c r="E830" t="s">
        <v>11</v>
      </c>
      <c r="F830" t="s">
        <v>12</v>
      </c>
      <c r="G830" t="s">
        <v>13</v>
      </c>
      <c r="H830">
        <v>86973.65</v>
      </c>
      <c r="I830">
        <v>1</v>
      </c>
      <c r="J830" t="str">
        <f t="shared" si="60"/>
        <v>High</v>
      </c>
      <c r="K830" t="str">
        <f t="shared" si="61"/>
        <v>High Risk</v>
      </c>
      <c r="L830">
        <f t="shared" si="62"/>
        <v>1</v>
      </c>
      <c r="M830">
        <f t="shared" si="63"/>
        <v>1</v>
      </c>
      <c r="N830" s="6">
        <f t="shared" si="64"/>
        <v>45665</v>
      </c>
    </row>
    <row r="831" spans="1:14" x14ac:dyDescent="0.3">
      <c r="A831">
        <v>190</v>
      </c>
      <c r="B831">
        <v>10088</v>
      </c>
      <c r="C831" t="s">
        <v>213</v>
      </c>
      <c r="D831" t="s">
        <v>29</v>
      </c>
      <c r="E831" t="s">
        <v>16</v>
      </c>
      <c r="F831" t="s">
        <v>12</v>
      </c>
      <c r="G831" t="s">
        <v>25</v>
      </c>
      <c r="H831">
        <v>40337.31</v>
      </c>
      <c r="I831">
        <v>0</v>
      </c>
      <c r="J831" t="str">
        <f t="shared" si="60"/>
        <v>High</v>
      </c>
      <c r="K831" t="str">
        <f t="shared" si="61"/>
        <v>Normal</v>
      </c>
      <c r="L831">
        <f t="shared" si="62"/>
        <v>1</v>
      </c>
      <c r="M831">
        <f t="shared" si="63"/>
        <v>1</v>
      </c>
      <c r="N831" s="6">
        <f t="shared" si="64"/>
        <v>45665</v>
      </c>
    </row>
    <row r="832" spans="1:14" x14ac:dyDescent="0.3">
      <c r="A832">
        <v>191</v>
      </c>
      <c r="B832">
        <v>10061</v>
      </c>
      <c r="C832" t="s">
        <v>214</v>
      </c>
      <c r="D832" t="s">
        <v>10</v>
      </c>
      <c r="E832" t="s">
        <v>24</v>
      </c>
      <c r="F832" t="s">
        <v>17</v>
      </c>
      <c r="G832" t="s">
        <v>18</v>
      </c>
      <c r="H832">
        <v>97026.51</v>
      </c>
      <c r="I832">
        <v>0</v>
      </c>
      <c r="J832" t="str">
        <f t="shared" si="60"/>
        <v>High</v>
      </c>
      <c r="K832" t="str">
        <f t="shared" si="61"/>
        <v>Normal</v>
      </c>
      <c r="L832">
        <f t="shared" si="62"/>
        <v>1</v>
      </c>
      <c r="M832">
        <f t="shared" si="63"/>
        <v>1</v>
      </c>
      <c r="N832" s="6">
        <f t="shared" si="64"/>
        <v>45665</v>
      </c>
    </row>
    <row r="833" spans="1:14" x14ac:dyDescent="0.3">
      <c r="A833">
        <v>192</v>
      </c>
      <c r="B833">
        <v>10096</v>
      </c>
      <c r="C833" t="s">
        <v>215</v>
      </c>
      <c r="D833" t="s">
        <v>20</v>
      </c>
      <c r="E833" t="s">
        <v>11</v>
      </c>
      <c r="F833" t="s">
        <v>17</v>
      </c>
      <c r="G833" t="s">
        <v>25</v>
      </c>
      <c r="H833">
        <v>93239.039999999994</v>
      </c>
      <c r="I833">
        <v>1</v>
      </c>
      <c r="J833" t="str">
        <f t="shared" si="60"/>
        <v>High</v>
      </c>
      <c r="K833" t="str">
        <f t="shared" si="61"/>
        <v>High Risk</v>
      </c>
      <c r="L833">
        <f t="shared" si="62"/>
        <v>1</v>
      </c>
      <c r="M833">
        <f t="shared" si="63"/>
        <v>1</v>
      </c>
      <c r="N833" s="6">
        <f t="shared" si="64"/>
        <v>45665</v>
      </c>
    </row>
    <row r="834" spans="1:14" x14ac:dyDescent="0.3">
      <c r="A834">
        <v>145</v>
      </c>
      <c r="B834">
        <v>10077</v>
      </c>
      <c r="C834" t="s">
        <v>168</v>
      </c>
      <c r="D834" t="s">
        <v>29</v>
      </c>
      <c r="E834" t="s">
        <v>16</v>
      </c>
      <c r="F834" t="s">
        <v>17</v>
      </c>
      <c r="G834" t="s">
        <v>25</v>
      </c>
      <c r="H834">
        <v>15682.49</v>
      </c>
      <c r="I834">
        <v>0</v>
      </c>
      <c r="J834" t="str">
        <f t="shared" ref="J834:J897" si="65">IF(E834&gt;50000,"High","Normal")</f>
        <v>High</v>
      </c>
      <c r="K834" t="str">
        <f t="shared" ref="K834:K897" si="66">IF(AND(H834&gt;50000,E834="Online"),"High Risk","Normal")</f>
        <v>Normal</v>
      </c>
      <c r="L834">
        <f t="shared" ref="L834:L897" si="67">COUNTIFS(C:C,C834,B:B,B834)</f>
        <v>1</v>
      </c>
      <c r="M834">
        <f t="shared" ref="M834:M897" si="68">IF(E834&gt;50000,1,0) + IF(H834="Unusual",1,0) + IF(I834&gt;3,1,0)</f>
        <v>1</v>
      </c>
      <c r="N834" s="6">
        <f t="shared" ref="N834:N897" si="69">INT(C834)</f>
        <v>45664</v>
      </c>
    </row>
    <row r="835" spans="1:14" x14ac:dyDescent="0.3">
      <c r="A835">
        <v>146</v>
      </c>
      <c r="B835">
        <v>10002</v>
      </c>
      <c r="C835" t="s">
        <v>169</v>
      </c>
      <c r="D835" t="s">
        <v>29</v>
      </c>
      <c r="E835" t="s">
        <v>11</v>
      </c>
      <c r="F835" t="s">
        <v>12</v>
      </c>
      <c r="G835" t="s">
        <v>21</v>
      </c>
      <c r="H835">
        <v>47901.760000000002</v>
      </c>
      <c r="I835">
        <v>0</v>
      </c>
      <c r="J835" t="str">
        <f t="shared" si="65"/>
        <v>High</v>
      </c>
      <c r="K835" t="str">
        <f t="shared" si="66"/>
        <v>Normal</v>
      </c>
      <c r="L835">
        <f t="shared" si="67"/>
        <v>1</v>
      </c>
      <c r="M835">
        <f t="shared" si="68"/>
        <v>1</v>
      </c>
      <c r="N835" s="6">
        <f t="shared" si="69"/>
        <v>45664</v>
      </c>
    </row>
    <row r="836" spans="1:14" x14ac:dyDescent="0.3">
      <c r="A836">
        <v>147</v>
      </c>
      <c r="B836">
        <v>10000</v>
      </c>
      <c r="C836" t="s">
        <v>170</v>
      </c>
      <c r="D836" t="s">
        <v>20</v>
      </c>
      <c r="E836" t="s">
        <v>16</v>
      </c>
      <c r="F836" t="s">
        <v>12</v>
      </c>
      <c r="G836" t="s">
        <v>18</v>
      </c>
      <c r="H836">
        <v>78077.55</v>
      </c>
      <c r="I836">
        <v>0</v>
      </c>
      <c r="J836" t="str">
        <f t="shared" si="65"/>
        <v>High</v>
      </c>
      <c r="K836" t="str">
        <f t="shared" si="66"/>
        <v>Normal</v>
      </c>
      <c r="L836">
        <f t="shared" si="67"/>
        <v>1</v>
      </c>
      <c r="M836">
        <f t="shared" si="68"/>
        <v>1</v>
      </c>
      <c r="N836" s="6">
        <f t="shared" si="69"/>
        <v>45664</v>
      </c>
    </row>
    <row r="837" spans="1:14" x14ac:dyDescent="0.3">
      <c r="A837">
        <v>148</v>
      </c>
      <c r="B837">
        <v>10004</v>
      </c>
      <c r="C837" t="s">
        <v>171</v>
      </c>
      <c r="D837" t="s">
        <v>20</v>
      </c>
      <c r="E837" t="s">
        <v>16</v>
      </c>
      <c r="F837" t="s">
        <v>17</v>
      </c>
      <c r="G837" t="s">
        <v>31</v>
      </c>
      <c r="H837">
        <v>30432.03</v>
      </c>
      <c r="I837">
        <v>0</v>
      </c>
      <c r="J837" t="str">
        <f t="shared" si="65"/>
        <v>High</v>
      </c>
      <c r="K837" t="str">
        <f t="shared" si="66"/>
        <v>Normal</v>
      </c>
      <c r="L837">
        <f t="shared" si="67"/>
        <v>1</v>
      </c>
      <c r="M837">
        <f t="shared" si="68"/>
        <v>1</v>
      </c>
      <c r="N837" s="6">
        <f t="shared" si="69"/>
        <v>45664</v>
      </c>
    </row>
    <row r="838" spans="1:14" x14ac:dyDescent="0.3">
      <c r="A838">
        <v>149</v>
      </c>
      <c r="B838">
        <v>10089</v>
      </c>
      <c r="C838" t="s">
        <v>172</v>
      </c>
      <c r="D838" t="s">
        <v>29</v>
      </c>
      <c r="E838" t="s">
        <v>16</v>
      </c>
      <c r="F838" t="s">
        <v>17</v>
      </c>
      <c r="G838" t="s">
        <v>25</v>
      </c>
      <c r="H838">
        <v>31237.81</v>
      </c>
      <c r="I838">
        <v>0</v>
      </c>
      <c r="J838" t="str">
        <f t="shared" si="65"/>
        <v>High</v>
      </c>
      <c r="K838" t="str">
        <f t="shared" si="66"/>
        <v>Normal</v>
      </c>
      <c r="L838">
        <f t="shared" si="67"/>
        <v>1</v>
      </c>
      <c r="M838">
        <f t="shared" si="68"/>
        <v>1</v>
      </c>
      <c r="N838" s="6">
        <f t="shared" si="69"/>
        <v>45664</v>
      </c>
    </row>
    <row r="839" spans="1:14" x14ac:dyDescent="0.3">
      <c r="A839">
        <v>150</v>
      </c>
      <c r="B839">
        <v>10013</v>
      </c>
      <c r="C839" t="s">
        <v>173</v>
      </c>
      <c r="D839" t="s">
        <v>10</v>
      </c>
      <c r="E839" t="s">
        <v>11</v>
      </c>
      <c r="F839" t="s">
        <v>12</v>
      </c>
      <c r="G839" t="s">
        <v>13</v>
      </c>
      <c r="H839">
        <v>413.78</v>
      </c>
      <c r="I839">
        <v>0</v>
      </c>
      <c r="J839" t="str">
        <f t="shared" si="65"/>
        <v>High</v>
      </c>
      <c r="K839" t="str">
        <f t="shared" si="66"/>
        <v>Normal</v>
      </c>
      <c r="L839">
        <f t="shared" si="67"/>
        <v>1</v>
      </c>
      <c r="M839">
        <f t="shared" si="68"/>
        <v>1</v>
      </c>
      <c r="N839" s="6">
        <f t="shared" si="69"/>
        <v>45664</v>
      </c>
    </row>
    <row r="840" spans="1:14" x14ac:dyDescent="0.3">
      <c r="A840">
        <v>151</v>
      </c>
      <c r="B840">
        <v>10026</v>
      </c>
      <c r="C840" t="s">
        <v>174</v>
      </c>
      <c r="D840" t="s">
        <v>23</v>
      </c>
      <c r="E840" t="s">
        <v>24</v>
      </c>
      <c r="F840" t="s">
        <v>17</v>
      </c>
      <c r="G840" t="s">
        <v>31</v>
      </c>
      <c r="H840">
        <v>17506.919999999998</v>
      </c>
      <c r="I840">
        <v>0</v>
      </c>
      <c r="J840" t="str">
        <f t="shared" si="65"/>
        <v>High</v>
      </c>
      <c r="K840" t="str">
        <f t="shared" si="66"/>
        <v>Normal</v>
      </c>
      <c r="L840">
        <f t="shared" si="67"/>
        <v>1</v>
      </c>
      <c r="M840">
        <f t="shared" si="68"/>
        <v>1</v>
      </c>
      <c r="N840" s="6">
        <f t="shared" si="69"/>
        <v>45664</v>
      </c>
    </row>
    <row r="841" spans="1:14" x14ac:dyDescent="0.3">
      <c r="A841">
        <v>152</v>
      </c>
      <c r="B841">
        <v>10008</v>
      </c>
      <c r="C841" t="s">
        <v>175</v>
      </c>
      <c r="D841" t="s">
        <v>23</v>
      </c>
      <c r="E841" t="s">
        <v>11</v>
      </c>
      <c r="F841" t="s">
        <v>12</v>
      </c>
      <c r="G841" t="s">
        <v>21</v>
      </c>
      <c r="H841">
        <v>87553.02</v>
      </c>
      <c r="I841">
        <v>1</v>
      </c>
      <c r="J841" t="str">
        <f t="shared" si="65"/>
        <v>High</v>
      </c>
      <c r="K841" t="str">
        <f t="shared" si="66"/>
        <v>High Risk</v>
      </c>
      <c r="L841">
        <f t="shared" si="67"/>
        <v>1</v>
      </c>
      <c r="M841">
        <f t="shared" si="68"/>
        <v>1</v>
      </c>
      <c r="N841" s="6">
        <f t="shared" si="69"/>
        <v>45664</v>
      </c>
    </row>
    <row r="842" spans="1:14" x14ac:dyDescent="0.3">
      <c r="A842">
        <v>153</v>
      </c>
      <c r="B842">
        <v>10078</v>
      </c>
      <c r="C842" t="s">
        <v>176</v>
      </c>
      <c r="D842" t="s">
        <v>23</v>
      </c>
      <c r="E842" t="s">
        <v>24</v>
      </c>
      <c r="F842" t="s">
        <v>17</v>
      </c>
      <c r="G842" t="s">
        <v>21</v>
      </c>
      <c r="H842">
        <v>44230.47</v>
      </c>
      <c r="I842">
        <v>0</v>
      </c>
      <c r="J842" t="str">
        <f t="shared" si="65"/>
        <v>High</v>
      </c>
      <c r="K842" t="str">
        <f t="shared" si="66"/>
        <v>Normal</v>
      </c>
      <c r="L842">
        <f t="shared" si="67"/>
        <v>1</v>
      </c>
      <c r="M842">
        <f t="shared" si="68"/>
        <v>1</v>
      </c>
      <c r="N842" s="6">
        <f t="shared" si="69"/>
        <v>45664</v>
      </c>
    </row>
    <row r="843" spans="1:14" x14ac:dyDescent="0.3">
      <c r="A843">
        <v>154</v>
      </c>
      <c r="B843">
        <v>10014</v>
      </c>
      <c r="C843" t="s">
        <v>177</v>
      </c>
      <c r="D843" t="s">
        <v>20</v>
      </c>
      <c r="E843" t="s">
        <v>24</v>
      </c>
      <c r="F843" t="s">
        <v>12</v>
      </c>
      <c r="G843" t="s">
        <v>13</v>
      </c>
      <c r="H843">
        <v>98425.03</v>
      </c>
      <c r="I843">
        <v>0</v>
      </c>
      <c r="J843" t="str">
        <f t="shared" si="65"/>
        <v>High</v>
      </c>
      <c r="K843" t="str">
        <f t="shared" si="66"/>
        <v>Normal</v>
      </c>
      <c r="L843">
        <f t="shared" si="67"/>
        <v>1</v>
      </c>
      <c r="M843">
        <f t="shared" si="68"/>
        <v>1</v>
      </c>
      <c r="N843" s="6">
        <f t="shared" si="69"/>
        <v>45664</v>
      </c>
    </row>
    <row r="844" spans="1:14" x14ac:dyDescent="0.3">
      <c r="A844">
        <v>155</v>
      </c>
      <c r="B844">
        <v>10089</v>
      </c>
      <c r="C844" t="s">
        <v>178</v>
      </c>
      <c r="D844" t="s">
        <v>20</v>
      </c>
      <c r="E844" t="s">
        <v>16</v>
      </c>
      <c r="F844" t="s">
        <v>17</v>
      </c>
      <c r="G844" t="s">
        <v>25</v>
      </c>
      <c r="H844">
        <v>39631.230000000003</v>
      </c>
      <c r="I844">
        <v>0</v>
      </c>
      <c r="J844" t="str">
        <f t="shared" si="65"/>
        <v>High</v>
      </c>
      <c r="K844" t="str">
        <f t="shared" si="66"/>
        <v>Normal</v>
      </c>
      <c r="L844">
        <f t="shared" si="67"/>
        <v>1</v>
      </c>
      <c r="M844">
        <f t="shared" si="68"/>
        <v>1</v>
      </c>
      <c r="N844" s="6">
        <f t="shared" si="69"/>
        <v>45664</v>
      </c>
    </row>
    <row r="845" spans="1:14" x14ac:dyDescent="0.3">
      <c r="A845">
        <v>156</v>
      </c>
      <c r="B845">
        <v>10041</v>
      </c>
      <c r="C845" t="s">
        <v>179</v>
      </c>
      <c r="D845" t="s">
        <v>10</v>
      </c>
      <c r="E845" t="s">
        <v>24</v>
      </c>
      <c r="F845" t="s">
        <v>17</v>
      </c>
      <c r="G845" t="s">
        <v>31</v>
      </c>
      <c r="H845">
        <v>71547.13</v>
      </c>
      <c r="I845">
        <v>0</v>
      </c>
      <c r="J845" t="str">
        <f t="shared" si="65"/>
        <v>High</v>
      </c>
      <c r="K845" t="str">
        <f t="shared" si="66"/>
        <v>Normal</v>
      </c>
      <c r="L845">
        <f t="shared" si="67"/>
        <v>1</v>
      </c>
      <c r="M845">
        <f t="shared" si="68"/>
        <v>1</v>
      </c>
      <c r="N845" s="6">
        <f t="shared" si="69"/>
        <v>45664</v>
      </c>
    </row>
    <row r="846" spans="1:14" x14ac:dyDescent="0.3">
      <c r="A846">
        <v>157</v>
      </c>
      <c r="B846">
        <v>10076</v>
      </c>
      <c r="C846" t="s">
        <v>180</v>
      </c>
      <c r="D846" t="s">
        <v>23</v>
      </c>
      <c r="E846" t="s">
        <v>11</v>
      </c>
      <c r="F846" t="s">
        <v>12</v>
      </c>
      <c r="G846" t="s">
        <v>25</v>
      </c>
      <c r="H846">
        <v>28263.71</v>
      </c>
      <c r="I846">
        <v>0</v>
      </c>
      <c r="J846" t="str">
        <f t="shared" si="65"/>
        <v>High</v>
      </c>
      <c r="K846" t="str">
        <f t="shared" si="66"/>
        <v>Normal</v>
      </c>
      <c r="L846">
        <f t="shared" si="67"/>
        <v>1</v>
      </c>
      <c r="M846">
        <f t="shared" si="68"/>
        <v>1</v>
      </c>
      <c r="N846" s="6">
        <f t="shared" si="69"/>
        <v>45664</v>
      </c>
    </row>
    <row r="847" spans="1:14" x14ac:dyDescent="0.3">
      <c r="A847">
        <v>158</v>
      </c>
      <c r="B847">
        <v>10050</v>
      </c>
      <c r="C847" t="s">
        <v>181</v>
      </c>
      <c r="D847" t="s">
        <v>23</v>
      </c>
      <c r="E847" t="s">
        <v>11</v>
      </c>
      <c r="F847" t="s">
        <v>12</v>
      </c>
      <c r="G847" t="s">
        <v>21</v>
      </c>
      <c r="H847">
        <v>36444.58</v>
      </c>
      <c r="I847">
        <v>0</v>
      </c>
      <c r="J847" t="str">
        <f t="shared" si="65"/>
        <v>High</v>
      </c>
      <c r="K847" t="str">
        <f t="shared" si="66"/>
        <v>Normal</v>
      </c>
      <c r="L847">
        <f t="shared" si="67"/>
        <v>1</v>
      </c>
      <c r="M847">
        <f t="shared" si="68"/>
        <v>1</v>
      </c>
      <c r="N847" s="6">
        <f t="shared" si="69"/>
        <v>45664</v>
      </c>
    </row>
    <row r="848" spans="1:14" x14ac:dyDescent="0.3">
      <c r="A848">
        <v>159</v>
      </c>
      <c r="B848">
        <v>10062</v>
      </c>
      <c r="C848" t="s">
        <v>182</v>
      </c>
      <c r="D848" t="s">
        <v>29</v>
      </c>
      <c r="E848" t="s">
        <v>24</v>
      </c>
      <c r="F848" t="s">
        <v>12</v>
      </c>
      <c r="G848" t="s">
        <v>25</v>
      </c>
      <c r="H848">
        <v>19153.53</v>
      </c>
      <c r="I848">
        <v>0</v>
      </c>
      <c r="J848" t="str">
        <f t="shared" si="65"/>
        <v>High</v>
      </c>
      <c r="K848" t="str">
        <f t="shared" si="66"/>
        <v>Normal</v>
      </c>
      <c r="L848">
        <f t="shared" si="67"/>
        <v>1</v>
      </c>
      <c r="M848">
        <f t="shared" si="68"/>
        <v>1</v>
      </c>
      <c r="N848" s="6">
        <f t="shared" si="69"/>
        <v>45664</v>
      </c>
    </row>
    <row r="849" spans="1:14" x14ac:dyDescent="0.3">
      <c r="A849">
        <v>160</v>
      </c>
      <c r="B849">
        <v>10095</v>
      </c>
      <c r="C849" t="s">
        <v>183</v>
      </c>
      <c r="D849" t="s">
        <v>20</v>
      </c>
      <c r="E849" t="s">
        <v>16</v>
      </c>
      <c r="F849" t="s">
        <v>12</v>
      </c>
      <c r="G849" t="s">
        <v>21</v>
      </c>
      <c r="H849">
        <v>34771.53</v>
      </c>
      <c r="I849">
        <v>0</v>
      </c>
      <c r="J849" t="str">
        <f t="shared" si="65"/>
        <v>High</v>
      </c>
      <c r="K849" t="str">
        <f t="shared" si="66"/>
        <v>Normal</v>
      </c>
      <c r="L849">
        <f t="shared" si="67"/>
        <v>1</v>
      </c>
      <c r="M849">
        <f t="shared" si="68"/>
        <v>1</v>
      </c>
      <c r="N849" s="6">
        <f t="shared" si="69"/>
        <v>45664</v>
      </c>
    </row>
    <row r="850" spans="1:14" x14ac:dyDescent="0.3">
      <c r="A850">
        <v>161</v>
      </c>
      <c r="B850">
        <v>10051</v>
      </c>
      <c r="C850" t="s">
        <v>184</v>
      </c>
      <c r="D850" t="s">
        <v>23</v>
      </c>
      <c r="E850" t="s">
        <v>16</v>
      </c>
      <c r="F850" t="s">
        <v>12</v>
      </c>
      <c r="G850" t="s">
        <v>25</v>
      </c>
      <c r="H850">
        <v>54769.03</v>
      </c>
      <c r="I850">
        <v>0</v>
      </c>
      <c r="J850" t="str">
        <f t="shared" si="65"/>
        <v>High</v>
      </c>
      <c r="K850" t="str">
        <f t="shared" si="66"/>
        <v>Normal</v>
      </c>
      <c r="L850">
        <f t="shared" si="67"/>
        <v>1</v>
      </c>
      <c r="M850">
        <f t="shared" si="68"/>
        <v>1</v>
      </c>
      <c r="N850" s="6">
        <f t="shared" si="69"/>
        <v>45664</v>
      </c>
    </row>
    <row r="851" spans="1:14" x14ac:dyDescent="0.3">
      <c r="A851">
        <v>162</v>
      </c>
      <c r="B851">
        <v>10095</v>
      </c>
      <c r="C851" t="s">
        <v>185</v>
      </c>
      <c r="D851" t="s">
        <v>10</v>
      </c>
      <c r="E851" t="s">
        <v>11</v>
      </c>
      <c r="F851" t="s">
        <v>17</v>
      </c>
      <c r="G851" t="s">
        <v>13</v>
      </c>
      <c r="H851">
        <v>99178.11</v>
      </c>
      <c r="I851">
        <v>1</v>
      </c>
      <c r="J851" t="str">
        <f t="shared" si="65"/>
        <v>High</v>
      </c>
      <c r="K851" t="str">
        <f t="shared" si="66"/>
        <v>High Risk</v>
      </c>
      <c r="L851">
        <f t="shared" si="67"/>
        <v>1</v>
      </c>
      <c r="M851">
        <f t="shared" si="68"/>
        <v>1</v>
      </c>
      <c r="N851" s="6">
        <f t="shared" si="69"/>
        <v>45664</v>
      </c>
    </row>
    <row r="852" spans="1:14" x14ac:dyDescent="0.3">
      <c r="A852">
        <v>163</v>
      </c>
      <c r="B852">
        <v>10003</v>
      </c>
      <c r="C852" t="s">
        <v>186</v>
      </c>
      <c r="D852" t="s">
        <v>10</v>
      </c>
      <c r="E852" t="s">
        <v>16</v>
      </c>
      <c r="F852" t="s">
        <v>12</v>
      </c>
      <c r="G852" t="s">
        <v>18</v>
      </c>
      <c r="H852">
        <v>66453.75</v>
      </c>
      <c r="I852">
        <v>0</v>
      </c>
      <c r="J852" t="str">
        <f t="shared" si="65"/>
        <v>High</v>
      </c>
      <c r="K852" t="str">
        <f t="shared" si="66"/>
        <v>Normal</v>
      </c>
      <c r="L852">
        <f t="shared" si="67"/>
        <v>1</v>
      </c>
      <c r="M852">
        <f t="shared" si="68"/>
        <v>1</v>
      </c>
      <c r="N852" s="6">
        <f t="shared" si="69"/>
        <v>45664</v>
      </c>
    </row>
    <row r="853" spans="1:14" x14ac:dyDescent="0.3">
      <c r="A853">
        <v>164</v>
      </c>
      <c r="B853">
        <v>10093</v>
      </c>
      <c r="C853" t="s">
        <v>187</v>
      </c>
      <c r="D853" t="s">
        <v>23</v>
      </c>
      <c r="E853" t="s">
        <v>24</v>
      </c>
      <c r="F853" t="s">
        <v>12</v>
      </c>
      <c r="G853" t="s">
        <v>13</v>
      </c>
      <c r="H853">
        <v>20004.669999999998</v>
      </c>
      <c r="I853">
        <v>0</v>
      </c>
      <c r="J853" t="str">
        <f t="shared" si="65"/>
        <v>High</v>
      </c>
      <c r="K853" t="str">
        <f t="shared" si="66"/>
        <v>Normal</v>
      </c>
      <c r="L853">
        <f t="shared" si="67"/>
        <v>1</v>
      </c>
      <c r="M853">
        <f t="shared" si="68"/>
        <v>1</v>
      </c>
      <c r="N853" s="6">
        <f t="shared" si="69"/>
        <v>45664</v>
      </c>
    </row>
    <row r="854" spans="1:14" x14ac:dyDescent="0.3">
      <c r="A854">
        <v>165</v>
      </c>
      <c r="B854">
        <v>10022</v>
      </c>
      <c r="C854" t="s">
        <v>188</v>
      </c>
      <c r="D854" t="s">
        <v>20</v>
      </c>
      <c r="E854" t="s">
        <v>24</v>
      </c>
      <c r="F854" t="s">
        <v>17</v>
      </c>
      <c r="G854" t="s">
        <v>13</v>
      </c>
      <c r="H854">
        <v>4591.6499999999996</v>
      </c>
      <c r="I854">
        <v>0</v>
      </c>
      <c r="J854" t="str">
        <f t="shared" si="65"/>
        <v>High</v>
      </c>
      <c r="K854" t="str">
        <f t="shared" si="66"/>
        <v>Normal</v>
      </c>
      <c r="L854">
        <f t="shared" si="67"/>
        <v>1</v>
      </c>
      <c r="M854">
        <f t="shared" si="68"/>
        <v>1</v>
      </c>
      <c r="N854" s="6">
        <f t="shared" si="69"/>
        <v>45664</v>
      </c>
    </row>
    <row r="855" spans="1:14" x14ac:dyDescent="0.3">
      <c r="A855">
        <v>166</v>
      </c>
      <c r="B855">
        <v>10014</v>
      </c>
      <c r="C855" t="s">
        <v>189</v>
      </c>
      <c r="D855" t="s">
        <v>10</v>
      </c>
      <c r="E855" t="s">
        <v>11</v>
      </c>
      <c r="F855" t="s">
        <v>17</v>
      </c>
      <c r="G855" t="s">
        <v>18</v>
      </c>
      <c r="H855">
        <v>12723.01</v>
      </c>
      <c r="I855">
        <v>0</v>
      </c>
      <c r="J855" t="str">
        <f t="shared" si="65"/>
        <v>High</v>
      </c>
      <c r="K855" t="str">
        <f t="shared" si="66"/>
        <v>Normal</v>
      </c>
      <c r="L855">
        <f t="shared" si="67"/>
        <v>1</v>
      </c>
      <c r="M855">
        <f t="shared" si="68"/>
        <v>1</v>
      </c>
      <c r="N855" s="6">
        <f t="shared" si="69"/>
        <v>45664</v>
      </c>
    </row>
    <row r="856" spans="1:14" x14ac:dyDescent="0.3">
      <c r="A856">
        <v>167</v>
      </c>
      <c r="B856">
        <v>10042</v>
      </c>
      <c r="C856" t="s">
        <v>190</v>
      </c>
      <c r="D856" t="s">
        <v>29</v>
      </c>
      <c r="E856" t="s">
        <v>24</v>
      </c>
      <c r="F856" t="s">
        <v>12</v>
      </c>
      <c r="G856" t="s">
        <v>18</v>
      </c>
      <c r="H856">
        <v>56299.26</v>
      </c>
      <c r="I856">
        <v>0</v>
      </c>
      <c r="J856" t="str">
        <f t="shared" si="65"/>
        <v>High</v>
      </c>
      <c r="K856" t="str">
        <f t="shared" si="66"/>
        <v>Normal</v>
      </c>
      <c r="L856">
        <f t="shared" si="67"/>
        <v>1</v>
      </c>
      <c r="M856">
        <f t="shared" si="68"/>
        <v>1</v>
      </c>
      <c r="N856" s="6">
        <f t="shared" si="69"/>
        <v>45664</v>
      </c>
    </row>
    <row r="857" spans="1:14" x14ac:dyDescent="0.3">
      <c r="A857">
        <v>168</v>
      </c>
      <c r="B857">
        <v>10028</v>
      </c>
      <c r="C857" t="s">
        <v>191</v>
      </c>
      <c r="D857" t="s">
        <v>10</v>
      </c>
      <c r="E857" t="s">
        <v>11</v>
      </c>
      <c r="F857" t="s">
        <v>17</v>
      </c>
      <c r="G857" t="s">
        <v>31</v>
      </c>
      <c r="H857">
        <v>76539.520000000004</v>
      </c>
      <c r="I857">
        <v>1</v>
      </c>
      <c r="J857" t="str">
        <f t="shared" si="65"/>
        <v>High</v>
      </c>
      <c r="K857" t="str">
        <f t="shared" si="66"/>
        <v>High Risk</v>
      </c>
      <c r="L857">
        <f t="shared" si="67"/>
        <v>1</v>
      </c>
      <c r="M857">
        <f t="shared" si="68"/>
        <v>1</v>
      </c>
      <c r="N857" s="6">
        <f t="shared" si="69"/>
        <v>45664</v>
      </c>
    </row>
    <row r="858" spans="1:14" x14ac:dyDescent="0.3">
      <c r="A858">
        <v>121</v>
      </c>
      <c r="B858">
        <v>10034</v>
      </c>
      <c r="C858" t="s">
        <v>144</v>
      </c>
      <c r="D858" t="s">
        <v>29</v>
      </c>
      <c r="E858" t="s">
        <v>24</v>
      </c>
      <c r="F858" t="s">
        <v>12</v>
      </c>
      <c r="G858" t="s">
        <v>18</v>
      </c>
      <c r="H858">
        <v>98531.85</v>
      </c>
      <c r="I858">
        <v>0</v>
      </c>
      <c r="J858" t="str">
        <f t="shared" si="65"/>
        <v>High</v>
      </c>
      <c r="K858" t="str">
        <f t="shared" si="66"/>
        <v>Normal</v>
      </c>
      <c r="L858">
        <f t="shared" si="67"/>
        <v>1</v>
      </c>
      <c r="M858">
        <f t="shared" si="68"/>
        <v>1</v>
      </c>
      <c r="N858" s="6">
        <f t="shared" si="69"/>
        <v>45663</v>
      </c>
    </row>
    <row r="859" spans="1:14" x14ac:dyDescent="0.3">
      <c r="A859">
        <v>122</v>
      </c>
      <c r="B859">
        <v>10032</v>
      </c>
      <c r="C859" t="s">
        <v>145</v>
      </c>
      <c r="D859" t="s">
        <v>15</v>
      </c>
      <c r="E859" t="s">
        <v>16</v>
      </c>
      <c r="F859" t="s">
        <v>12</v>
      </c>
      <c r="G859" t="s">
        <v>31</v>
      </c>
      <c r="H859">
        <v>16685.580000000002</v>
      </c>
      <c r="I859">
        <v>0</v>
      </c>
      <c r="J859" t="str">
        <f t="shared" si="65"/>
        <v>High</v>
      </c>
      <c r="K859" t="str">
        <f t="shared" si="66"/>
        <v>Normal</v>
      </c>
      <c r="L859">
        <f t="shared" si="67"/>
        <v>1</v>
      </c>
      <c r="M859">
        <f t="shared" si="68"/>
        <v>1</v>
      </c>
      <c r="N859" s="6">
        <f t="shared" si="69"/>
        <v>45663</v>
      </c>
    </row>
    <row r="860" spans="1:14" x14ac:dyDescent="0.3">
      <c r="A860">
        <v>123</v>
      </c>
      <c r="B860">
        <v>10004</v>
      </c>
      <c r="C860" t="s">
        <v>146</v>
      </c>
      <c r="D860" t="s">
        <v>20</v>
      </c>
      <c r="E860" t="s">
        <v>24</v>
      </c>
      <c r="F860" t="s">
        <v>17</v>
      </c>
      <c r="G860" t="s">
        <v>18</v>
      </c>
      <c r="H860">
        <v>11531.71</v>
      </c>
      <c r="I860">
        <v>0</v>
      </c>
      <c r="J860" t="str">
        <f t="shared" si="65"/>
        <v>High</v>
      </c>
      <c r="K860" t="str">
        <f t="shared" si="66"/>
        <v>Normal</v>
      </c>
      <c r="L860">
        <f t="shared" si="67"/>
        <v>1</v>
      </c>
      <c r="M860">
        <f t="shared" si="68"/>
        <v>1</v>
      </c>
      <c r="N860" s="6">
        <f t="shared" si="69"/>
        <v>45663</v>
      </c>
    </row>
    <row r="861" spans="1:14" x14ac:dyDescent="0.3">
      <c r="A861">
        <v>124</v>
      </c>
      <c r="B861">
        <v>10040</v>
      </c>
      <c r="C861" t="s">
        <v>147</v>
      </c>
      <c r="D861" t="s">
        <v>23</v>
      </c>
      <c r="E861" t="s">
        <v>24</v>
      </c>
      <c r="F861" t="s">
        <v>17</v>
      </c>
      <c r="G861" t="s">
        <v>31</v>
      </c>
      <c r="H861">
        <v>969.74</v>
      </c>
      <c r="I861">
        <v>0</v>
      </c>
      <c r="J861" t="str">
        <f t="shared" si="65"/>
        <v>High</v>
      </c>
      <c r="K861" t="str">
        <f t="shared" si="66"/>
        <v>Normal</v>
      </c>
      <c r="L861">
        <f t="shared" si="67"/>
        <v>1</v>
      </c>
      <c r="M861">
        <f t="shared" si="68"/>
        <v>1</v>
      </c>
      <c r="N861" s="6">
        <f t="shared" si="69"/>
        <v>45663</v>
      </c>
    </row>
    <row r="862" spans="1:14" x14ac:dyDescent="0.3">
      <c r="A862">
        <v>125</v>
      </c>
      <c r="B862">
        <v>10027</v>
      </c>
      <c r="C862" t="s">
        <v>148</v>
      </c>
      <c r="D862" t="s">
        <v>20</v>
      </c>
      <c r="E862" t="s">
        <v>11</v>
      </c>
      <c r="F862" t="s">
        <v>17</v>
      </c>
      <c r="G862" t="s">
        <v>13</v>
      </c>
      <c r="H862">
        <v>15641.59</v>
      </c>
      <c r="I862">
        <v>0</v>
      </c>
      <c r="J862" t="str">
        <f t="shared" si="65"/>
        <v>High</v>
      </c>
      <c r="K862" t="str">
        <f t="shared" si="66"/>
        <v>Normal</v>
      </c>
      <c r="L862">
        <f t="shared" si="67"/>
        <v>1</v>
      </c>
      <c r="M862">
        <f t="shared" si="68"/>
        <v>1</v>
      </c>
      <c r="N862" s="6">
        <f t="shared" si="69"/>
        <v>45663</v>
      </c>
    </row>
    <row r="863" spans="1:14" x14ac:dyDescent="0.3">
      <c r="A863">
        <v>126</v>
      </c>
      <c r="B863">
        <v>10006</v>
      </c>
      <c r="C863" t="s">
        <v>149</v>
      </c>
      <c r="D863" t="s">
        <v>29</v>
      </c>
      <c r="E863" t="s">
        <v>11</v>
      </c>
      <c r="F863" t="s">
        <v>17</v>
      </c>
      <c r="G863" t="s">
        <v>21</v>
      </c>
      <c r="H863">
        <v>20806.57</v>
      </c>
      <c r="I863">
        <v>0</v>
      </c>
      <c r="J863" t="str">
        <f t="shared" si="65"/>
        <v>High</v>
      </c>
      <c r="K863" t="str">
        <f t="shared" si="66"/>
        <v>Normal</v>
      </c>
      <c r="L863">
        <f t="shared" si="67"/>
        <v>1</v>
      </c>
      <c r="M863">
        <f t="shared" si="68"/>
        <v>1</v>
      </c>
      <c r="N863" s="6">
        <f t="shared" si="69"/>
        <v>45663</v>
      </c>
    </row>
    <row r="864" spans="1:14" x14ac:dyDescent="0.3">
      <c r="A864">
        <v>127</v>
      </c>
      <c r="B864">
        <v>10072</v>
      </c>
      <c r="C864" t="s">
        <v>150</v>
      </c>
      <c r="D864" t="s">
        <v>15</v>
      </c>
      <c r="E864" t="s">
        <v>24</v>
      </c>
      <c r="F864" t="s">
        <v>12</v>
      </c>
      <c r="G864" t="s">
        <v>13</v>
      </c>
      <c r="H864">
        <v>63095.040000000001</v>
      </c>
      <c r="I864">
        <v>0</v>
      </c>
      <c r="J864" t="str">
        <f t="shared" si="65"/>
        <v>High</v>
      </c>
      <c r="K864" t="str">
        <f t="shared" si="66"/>
        <v>Normal</v>
      </c>
      <c r="L864">
        <f t="shared" si="67"/>
        <v>1</v>
      </c>
      <c r="M864">
        <f t="shared" si="68"/>
        <v>1</v>
      </c>
      <c r="N864" s="6">
        <f t="shared" si="69"/>
        <v>45663</v>
      </c>
    </row>
    <row r="865" spans="1:14" x14ac:dyDescent="0.3">
      <c r="A865">
        <v>128</v>
      </c>
      <c r="B865">
        <v>10071</v>
      </c>
      <c r="C865" t="s">
        <v>151</v>
      </c>
      <c r="D865" t="s">
        <v>15</v>
      </c>
      <c r="E865" t="s">
        <v>16</v>
      </c>
      <c r="F865" t="s">
        <v>17</v>
      </c>
      <c r="G865" t="s">
        <v>21</v>
      </c>
      <c r="H865">
        <v>22048.71</v>
      </c>
      <c r="I865">
        <v>0</v>
      </c>
      <c r="J865" t="str">
        <f t="shared" si="65"/>
        <v>High</v>
      </c>
      <c r="K865" t="str">
        <f t="shared" si="66"/>
        <v>Normal</v>
      </c>
      <c r="L865">
        <f t="shared" si="67"/>
        <v>1</v>
      </c>
      <c r="M865">
        <f t="shared" si="68"/>
        <v>1</v>
      </c>
      <c r="N865" s="6">
        <f t="shared" si="69"/>
        <v>45663</v>
      </c>
    </row>
    <row r="866" spans="1:14" x14ac:dyDescent="0.3">
      <c r="A866">
        <v>129</v>
      </c>
      <c r="B866">
        <v>10011</v>
      </c>
      <c r="C866" t="s">
        <v>152</v>
      </c>
      <c r="D866" t="s">
        <v>29</v>
      </c>
      <c r="E866" t="s">
        <v>11</v>
      </c>
      <c r="F866" t="s">
        <v>17</v>
      </c>
      <c r="G866" t="s">
        <v>21</v>
      </c>
      <c r="H866">
        <v>2150.0300000000002</v>
      </c>
      <c r="I866">
        <v>0</v>
      </c>
      <c r="J866" t="str">
        <f t="shared" si="65"/>
        <v>High</v>
      </c>
      <c r="K866" t="str">
        <f t="shared" si="66"/>
        <v>Normal</v>
      </c>
      <c r="L866">
        <f t="shared" si="67"/>
        <v>1</v>
      </c>
      <c r="M866">
        <f t="shared" si="68"/>
        <v>1</v>
      </c>
      <c r="N866" s="6">
        <f t="shared" si="69"/>
        <v>45663</v>
      </c>
    </row>
    <row r="867" spans="1:14" x14ac:dyDescent="0.3">
      <c r="A867">
        <v>130</v>
      </c>
      <c r="B867">
        <v>10033</v>
      </c>
      <c r="C867" t="s">
        <v>153</v>
      </c>
      <c r="D867" t="s">
        <v>29</v>
      </c>
      <c r="E867" t="s">
        <v>16</v>
      </c>
      <c r="F867" t="s">
        <v>12</v>
      </c>
      <c r="G867" t="s">
        <v>18</v>
      </c>
      <c r="H867">
        <v>82679.17</v>
      </c>
      <c r="I867">
        <v>0</v>
      </c>
      <c r="J867" t="str">
        <f t="shared" si="65"/>
        <v>High</v>
      </c>
      <c r="K867" t="str">
        <f t="shared" si="66"/>
        <v>Normal</v>
      </c>
      <c r="L867">
        <f t="shared" si="67"/>
        <v>1</v>
      </c>
      <c r="M867">
        <f t="shared" si="68"/>
        <v>1</v>
      </c>
      <c r="N867" s="6">
        <f t="shared" si="69"/>
        <v>45663</v>
      </c>
    </row>
    <row r="868" spans="1:14" x14ac:dyDescent="0.3">
      <c r="A868">
        <v>131</v>
      </c>
      <c r="B868">
        <v>10032</v>
      </c>
      <c r="C868" t="s">
        <v>154</v>
      </c>
      <c r="D868" t="s">
        <v>23</v>
      </c>
      <c r="E868" t="s">
        <v>16</v>
      </c>
      <c r="F868" t="s">
        <v>17</v>
      </c>
      <c r="G868" t="s">
        <v>13</v>
      </c>
      <c r="H868">
        <v>36623.01</v>
      </c>
      <c r="I868">
        <v>0</v>
      </c>
      <c r="J868" t="str">
        <f t="shared" si="65"/>
        <v>High</v>
      </c>
      <c r="K868" t="str">
        <f t="shared" si="66"/>
        <v>Normal</v>
      </c>
      <c r="L868">
        <f t="shared" si="67"/>
        <v>1</v>
      </c>
      <c r="M868">
        <f t="shared" si="68"/>
        <v>1</v>
      </c>
      <c r="N868" s="6">
        <f t="shared" si="69"/>
        <v>45663</v>
      </c>
    </row>
    <row r="869" spans="1:14" x14ac:dyDescent="0.3">
      <c r="A869">
        <v>132</v>
      </c>
      <c r="B869">
        <v>10047</v>
      </c>
      <c r="C869" t="s">
        <v>155</v>
      </c>
      <c r="D869" t="s">
        <v>15</v>
      </c>
      <c r="E869" t="s">
        <v>24</v>
      </c>
      <c r="F869" t="s">
        <v>17</v>
      </c>
      <c r="G869" t="s">
        <v>31</v>
      </c>
      <c r="H869">
        <v>35434.300000000003</v>
      </c>
      <c r="I869">
        <v>0</v>
      </c>
      <c r="J869" t="str">
        <f t="shared" si="65"/>
        <v>High</v>
      </c>
      <c r="K869" t="str">
        <f t="shared" si="66"/>
        <v>Normal</v>
      </c>
      <c r="L869">
        <f t="shared" si="67"/>
        <v>1</v>
      </c>
      <c r="M869">
        <f t="shared" si="68"/>
        <v>1</v>
      </c>
      <c r="N869" s="6">
        <f t="shared" si="69"/>
        <v>45663</v>
      </c>
    </row>
    <row r="870" spans="1:14" x14ac:dyDescent="0.3">
      <c r="A870">
        <v>133</v>
      </c>
      <c r="B870">
        <v>10022</v>
      </c>
      <c r="C870" t="s">
        <v>156</v>
      </c>
      <c r="D870" t="s">
        <v>20</v>
      </c>
      <c r="E870" t="s">
        <v>24</v>
      </c>
      <c r="F870" t="s">
        <v>12</v>
      </c>
      <c r="G870" t="s">
        <v>13</v>
      </c>
      <c r="H870">
        <v>30317.66</v>
      </c>
      <c r="I870">
        <v>0</v>
      </c>
      <c r="J870" t="str">
        <f t="shared" si="65"/>
        <v>High</v>
      </c>
      <c r="K870" t="str">
        <f t="shared" si="66"/>
        <v>Normal</v>
      </c>
      <c r="L870">
        <f t="shared" si="67"/>
        <v>1</v>
      </c>
      <c r="M870">
        <f t="shared" si="68"/>
        <v>1</v>
      </c>
      <c r="N870" s="6">
        <f t="shared" si="69"/>
        <v>45663</v>
      </c>
    </row>
    <row r="871" spans="1:14" x14ac:dyDescent="0.3">
      <c r="A871">
        <v>134</v>
      </c>
      <c r="B871">
        <v>10061</v>
      </c>
      <c r="C871" t="s">
        <v>157</v>
      </c>
      <c r="D871" t="s">
        <v>10</v>
      </c>
      <c r="E871" t="s">
        <v>24</v>
      </c>
      <c r="F871" t="s">
        <v>17</v>
      </c>
      <c r="G871" t="s">
        <v>18</v>
      </c>
      <c r="H871">
        <v>97539.79</v>
      </c>
      <c r="I871">
        <v>0</v>
      </c>
      <c r="J871" t="str">
        <f t="shared" si="65"/>
        <v>High</v>
      </c>
      <c r="K871" t="str">
        <f t="shared" si="66"/>
        <v>Normal</v>
      </c>
      <c r="L871">
        <f t="shared" si="67"/>
        <v>1</v>
      </c>
      <c r="M871">
        <f t="shared" si="68"/>
        <v>1</v>
      </c>
      <c r="N871" s="6">
        <f t="shared" si="69"/>
        <v>45663</v>
      </c>
    </row>
    <row r="872" spans="1:14" x14ac:dyDescent="0.3">
      <c r="A872">
        <v>135</v>
      </c>
      <c r="B872">
        <v>10087</v>
      </c>
      <c r="C872" t="s">
        <v>158</v>
      </c>
      <c r="D872" t="s">
        <v>10</v>
      </c>
      <c r="E872" t="s">
        <v>24</v>
      </c>
      <c r="F872" t="s">
        <v>17</v>
      </c>
      <c r="G872" t="s">
        <v>21</v>
      </c>
      <c r="H872">
        <v>17094.53</v>
      </c>
      <c r="I872">
        <v>0</v>
      </c>
      <c r="J872" t="str">
        <f t="shared" si="65"/>
        <v>High</v>
      </c>
      <c r="K872" t="str">
        <f t="shared" si="66"/>
        <v>Normal</v>
      </c>
      <c r="L872">
        <f t="shared" si="67"/>
        <v>1</v>
      </c>
      <c r="M872">
        <f t="shared" si="68"/>
        <v>1</v>
      </c>
      <c r="N872" s="6">
        <f t="shared" si="69"/>
        <v>45663</v>
      </c>
    </row>
    <row r="873" spans="1:14" x14ac:dyDescent="0.3">
      <c r="A873">
        <v>136</v>
      </c>
      <c r="B873">
        <v>10036</v>
      </c>
      <c r="C873" t="s">
        <v>159</v>
      </c>
      <c r="D873" t="s">
        <v>29</v>
      </c>
      <c r="E873" t="s">
        <v>11</v>
      </c>
      <c r="F873" t="s">
        <v>17</v>
      </c>
      <c r="G873" t="s">
        <v>18</v>
      </c>
      <c r="H873">
        <v>89833.98</v>
      </c>
      <c r="I873">
        <v>1</v>
      </c>
      <c r="J873" t="str">
        <f t="shared" si="65"/>
        <v>High</v>
      </c>
      <c r="K873" t="str">
        <f t="shared" si="66"/>
        <v>High Risk</v>
      </c>
      <c r="L873">
        <f t="shared" si="67"/>
        <v>1</v>
      </c>
      <c r="M873">
        <f t="shared" si="68"/>
        <v>1</v>
      </c>
      <c r="N873" s="6">
        <f t="shared" si="69"/>
        <v>45663</v>
      </c>
    </row>
    <row r="874" spans="1:14" x14ac:dyDescent="0.3">
      <c r="A874">
        <v>137</v>
      </c>
      <c r="B874">
        <v>10098</v>
      </c>
      <c r="C874" t="s">
        <v>160</v>
      </c>
      <c r="D874" t="s">
        <v>23</v>
      </c>
      <c r="E874" t="s">
        <v>11</v>
      </c>
      <c r="F874" t="s">
        <v>17</v>
      </c>
      <c r="G874" t="s">
        <v>25</v>
      </c>
      <c r="H874">
        <v>77702.649999999994</v>
      </c>
      <c r="I874">
        <v>1</v>
      </c>
      <c r="J874" t="str">
        <f t="shared" si="65"/>
        <v>High</v>
      </c>
      <c r="K874" t="str">
        <f t="shared" si="66"/>
        <v>High Risk</v>
      </c>
      <c r="L874">
        <f t="shared" si="67"/>
        <v>1</v>
      </c>
      <c r="M874">
        <f t="shared" si="68"/>
        <v>1</v>
      </c>
      <c r="N874" s="6">
        <f t="shared" si="69"/>
        <v>45663</v>
      </c>
    </row>
    <row r="875" spans="1:14" x14ac:dyDescent="0.3">
      <c r="A875">
        <v>138</v>
      </c>
      <c r="B875">
        <v>10043</v>
      </c>
      <c r="C875" t="s">
        <v>161</v>
      </c>
      <c r="D875" t="s">
        <v>10</v>
      </c>
      <c r="E875" t="s">
        <v>24</v>
      </c>
      <c r="F875" t="s">
        <v>17</v>
      </c>
      <c r="G875" t="s">
        <v>25</v>
      </c>
      <c r="H875">
        <v>7740.35</v>
      </c>
      <c r="I875">
        <v>0</v>
      </c>
      <c r="J875" t="str">
        <f t="shared" si="65"/>
        <v>High</v>
      </c>
      <c r="K875" t="str">
        <f t="shared" si="66"/>
        <v>Normal</v>
      </c>
      <c r="L875">
        <f t="shared" si="67"/>
        <v>1</v>
      </c>
      <c r="M875">
        <f t="shared" si="68"/>
        <v>1</v>
      </c>
      <c r="N875" s="6">
        <f t="shared" si="69"/>
        <v>45663</v>
      </c>
    </row>
    <row r="876" spans="1:14" x14ac:dyDescent="0.3">
      <c r="A876">
        <v>139</v>
      </c>
      <c r="B876">
        <v>10085</v>
      </c>
      <c r="C876" t="s">
        <v>162</v>
      </c>
      <c r="D876" t="s">
        <v>15</v>
      </c>
      <c r="E876" t="s">
        <v>11</v>
      </c>
      <c r="F876" t="s">
        <v>12</v>
      </c>
      <c r="G876" t="s">
        <v>31</v>
      </c>
      <c r="H876">
        <v>98674.240000000005</v>
      </c>
      <c r="I876">
        <v>1</v>
      </c>
      <c r="J876" t="str">
        <f t="shared" si="65"/>
        <v>High</v>
      </c>
      <c r="K876" t="str">
        <f t="shared" si="66"/>
        <v>High Risk</v>
      </c>
      <c r="L876">
        <f t="shared" si="67"/>
        <v>1</v>
      </c>
      <c r="M876">
        <f t="shared" si="68"/>
        <v>1</v>
      </c>
      <c r="N876" s="6">
        <f t="shared" si="69"/>
        <v>45663</v>
      </c>
    </row>
    <row r="877" spans="1:14" x14ac:dyDescent="0.3">
      <c r="A877">
        <v>140</v>
      </c>
      <c r="B877">
        <v>10090</v>
      </c>
      <c r="C877" t="s">
        <v>163</v>
      </c>
      <c r="D877" t="s">
        <v>29</v>
      </c>
      <c r="E877" t="s">
        <v>24</v>
      </c>
      <c r="F877" t="s">
        <v>12</v>
      </c>
      <c r="G877" t="s">
        <v>18</v>
      </c>
      <c r="H877">
        <v>27209.46</v>
      </c>
      <c r="I877">
        <v>0</v>
      </c>
      <c r="J877" t="str">
        <f t="shared" si="65"/>
        <v>High</v>
      </c>
      <c r="K877" t="str">
        <f t="shared" si="66"/>
        <v>Normal</v>
      </c>
      <c r="L877">
        <f t="shared" si="67"/>
        <v>1</v>
      </c>
      <c r="M877">
        <f t="shared" si="68"/>
        <v>1</v>
      </c>
      <c r="N877" s="6">
        <f t="shared" si="69"/>
        <v>45663</v>
      </c>
    </row>
    <row r="878" spans="1:14" x14ac:dyDescent="0.3">
      <c r="A878">
        <v>141</v>
      </c>
      <c r="B878">
        <v>10034</v>
      </c>
      <c r="C878" t="s">
        <v>164</v>
      </c>
      <c r="D878" t="s">
        <v>20</v>
      </c>
      <c r="E878" t="s">
        <v>16</v>
      </c>
      <c r="F878" t="s">
        <v>12</v>
      </c>
      <c r="G878" t="s">
        <v>31</v>
      </c>
      <c r="H878">
        <v>9948.43</v>
      </c>
      <c r="I878">
        <v>0</v>
      </c>
      <c r="J878" t="str">
        <f t="shared" si="65"/>
        <v>High</v>
      </c>
      <c r="K878" t="str">
        <f t="shared" si="66"/>
        <v>Normal</v>
      </c>
      <c r="L878">
        <f t="shared" si="67"/>
        <v>1</v>
      </c>
      <c r="M878">
        <f t="shared" si="68"/>
        <v>1</v>
      </c>
      <c r="N878" s="6">
        <f t="shared" si="69"/>
        <v>45663</v>
      </c>
    </row>
    <row r="879" spans="1:14" x14ac:dyDescent="0.3">
      <c r="A879">
        <v>142</v>
      </c>
      <c r="B879">
        <v>10064</v>
      </c>
      <c r="C879" t="s">
        <v>165</v>
      </c>
      <c r="D879" t="s">
        <v>29</v>
      </c>
      <c r="E879" t="s">
        <v>16</v>
      </c>
      <c r="F879" t="s">
        <v>12</v>
      </c>
      <c r="G879" t="s">
        <v>31</v>
      </c>
      <c r="H879">
        <v>82948.490000000005</v>
      </c>
      <c r="I879">
        <v>0</v>
      </c>
      <c r="J879" t="str">
        <f t="shared" si="65"/>
        <v>High</v>
      </c>
      <c r="K879" t="str">
        <f t="shared" si="66"/>
        <v>Normal</v>
      </c>
      <c r="L879">
        <f t="shared" si="67"/>
        <v>1</v>
      </c>
      <c r="M879">
        <f t="shared" si="68"/>
        <v>1</v>
      </c>
      <c r="N879" s="6">
        <f t="shared" si="69"/>
        <v>45663</v>
      </c>
    </row>
    <row r="880" spans="1:14" x14ac:dyDescent="0.3">
      <c r="A880">
        <v>143</v>
      </c>
      <c r="B880">
        <v>10098</v>
      </c>
      <c r="C880" t="s">
        <v>166</v>
      </c>
      <c r="D880" t="s">
        <v>20</v>
      </c>
      <c r="E880" t="s">
        <v>16</v>
      </c>
      <c r="F880" t="s">
        <v>12</v>
      </c>
      <c r="G880" t="s">
        <v>25</v>
      </c>
      <c r="H880">
        <v>70696.89</v>
      </c>
      <c r="I880">
        <v>0</v>
      </c>
      <c r="J880" t="str">
        <f t="shared" si="65"/>
        <v>High</v>
      </c>
      <c r="K880" t="str">
        <f t="shared" si="66"/>
        <v>Normal</v>
      </c>
      <c r="L880">
        <f t="shared" si="67"/>
        <v>1</v>
      </c>
      <c r="M880">
        <f t="shared" si="68"/>
        <v>1</v>
      </c>
      <c r="N880" s="6">
        <f t="shared" si="69"/>
        <v>45663</v>
      </c>
    </row>
    <row r="881" spans="1:14" x14ac:dyDescent="0.3">
      <c r="A881">
        <v>144</v>
      </c>
      <c r="B881">
        <v>10046</v>
      </c>
      <c r="C881" t="s">
        <v>167</v>
      </c>
      <c r="D881" t="s">
        <v>29</v>
      </c>
      <c r="E881" t="s">
        <v>24</v>
      </c>
      <c r="F881" t="s">
        <v>12</v>
      </c>
      <c r="G881" t="s">
        <v>31</v>
      </c>
      <c r="H881">
        <v>61760.160000000003</v>
      </c>
      <c r="I881">
        <v>0</v>
      </c>
      <c r="J881" t="str">
        <f t="shared" si="65"/>
        <v>High</v>
      </c>
      <c r="K881" t="str">
        <f t="shared" si="66"/>
        <v>Normal</v>
      </c>
      <c r="L881">
        <f t="shared" si="67"/>
        <v>1</v>
      </c>
      <c r="M881">
        <f t="shared" si="68"/>
        <v>1</v>
      </c>
      <c r="N881" s="6">
        <f t="shared" si="69"/>
        <v>45663</v>
      </c>
    </row>
    <row r="882" spans="1:14" x14ac:dyDescent="0.3">
      <c r="A882">
        <v>97</v>
      </c>
      <c r="B882">
        <v>10079</v>
      </c>
      <c r="C882" t="s">
        <v>120</v>
      </c>
      <c r="D882" t="s">
        <v>23</v>
      </c>
      <c r="E882" t="s">
        <v>11</v>
      </c>
      <c r="F882" t="s">
        <v>12</v>
      </c>
      <c r="G882" t="s">
        <v>31</v>
      </c>
      <c r="H882">
        <v>20135.240000000002</v>
      </c>
      <c r="I882">
        <v>0</v>
      </c>
      <c r="J882" t="str">
        <f t="shared" si="65"/>
        <v>High</v>
      </c>
      <c r="K882" t="str">
        <f t="shared" si="66"/>
        <v>Normal</v>
      </c>
      <c r="L882">
        <f t="shared" si="67"/>
        <v>1</v>
      </c>
      <c r="M882">
        <f t="shared" si="68"/>
        <v>1</v>
      </c>
      <c r="N882" s="6">
        <f t="shared" si="69"/>
        <v>45662</v>
      </c>
    </row>
    <row r="883" spans="1:14" x14ac:dyDescent="0.3">
      <c r="A883">
        <v>98</v>
      </c>
      <c r="B883">
        <v>10081</v>
      </c>
      <c r="C883" t="s">
        <v>121</v>
      </c>
      <c r="D883" t="s">
        <v>23</v>
      </c>
      <c r="E883" t="s">
        <v>16</v>
      </c>
      <c r="F883" t="s">
        <v>12</v>
      </c>
      <c r="G883" t="s">
        <v>25</v>
      </c>
      <c r="H883">
        <v>21701.08</v>
      </c>
      <c r="I883">
        <v>0</v>
      </c>
      <c r="J883" t="str">
        <f t="shared" si="65"/>
        <v>High</v>
      </c>
      <c r="K883" t="str">
        <f t="shared" si="66"/>
        <v>Normal</v>
      </c>
      <c r="L883">
        <f t="shared" si="67"/>
        <v>1</v>
      </c>
      <c r="M883">
        <f t="shared" si="68"/>
        <v>1</v>
      </c>
      <c r="N883" s="6">
        <f t="shared" si="69"/>
        <v>45662</v>
      </c>
    </row>
    <row r="884" spans="1:14" x14ac:dyDescent="0.3">
      <c r="A884">
        <v>99</v>
      </c>
      <c r="B884">
        <v>10052</v>
      </c>
      <c r="C884" t="s">
        <v>122</v>
      </c>
      <c r="D884" t="s">
        <v>10</v>
      </c>
      <c r="E884" t="s">
        <v>16</v>
      </c>
      <c r="F884" t="s">
        <v>17</v>
      </c>
      <c r="G884" t="s">
        <v>21</v>
      </c>
      <c r="H884">
        <v>69152.06</v>
      </c>
      <c r="I884">
        <v>0</v>
      </c>
      <c r="J884" t="str">
        <f t="shared" si="65"/>
        <v>High</v>
      </c>
      <c r="K884" t="str">
        <f t="shared" si="66"/>
        <v>Normal</v>
      </c>
      <c r="L884">
        <f t="shared" si="67"/>
        <v>1</v>
      </c>
      <c r="M884">
        <f t="shared" si="68"/>
        <v>1</v>
      </c>
      <c r="N884" s="6">
        <f t="shared" si="69"/>
        <v>45662</v>
      </c>
    </row>
    <row r="885" spans="1:14" x14ac:dyDescent="0.3">
      <c r="A885">
        <v>100</v>
      </c>
      <c r="B885">
        <v>10023</v>
      </c>
      <c r="C885" t="s">
        <v>123</v>
      </c>
      <c r="D885" t="s">
        <v>20</v>
      </c>
      <c r="E885" t="s">
        <v>16</v>
      </c>
      <c r="F885" t="s">
        <v>12</v>
      </c>
      <c r="G885" t="s">
        <v>31</v>
      </c>
      <c r="H885">
        <v>60343.65</v>
      </c>
      <c r="I885">
        <v>0</v>
      </c>
      <c r="J885" t="str">
        <f t="shared" si="65"/>
        <v>High</v>
      </c>
      <c r="K885" t="str">
        <f t="shared" si="66"/>
        <v>Normal</v>
      </c>
      <c r="L885">
        <f t="shared" si="67"/>
        <v>1</v>
      </c>
      <c r="M885">
        <f t="shared" si="68"/>
        <v>1</v>
      </c>
      <c r="N885" s="6">
        <f t="shared" si="69"/>
        <v>45662</v>
      </c>
    </row>
    <row r="886" spans="1:14" x14ac:dyDescent="0.3">
      <c r="A886">
        <v>101</v>
      </c>
      <c r="B886">
        <v>10025</v>
      </c>
      <c r="C886" t="s">
        <v>124</v>
      </c>
      <c r="D886" t="s">
        <v>15</v>
      </c>
      <c r="E886" t="s">
        <v>16</v>
      </c>
      <c r="F886" t="s">
        <v>17</v>
      </c>
      <c r="G886" t="s">
        <v>31</v>
      </c>
      <c r="H886">
        <v>61937.26</v>
      </c>
      <c r="I886">
        <v>0</v>
      </c>
      <c r="J886" t="str">
        <f t="shared" si="65"/>
        <v>High</v>
      </c>
      <c r="K886" t="str">
        <f t="shared" si="66"/>
        <v>Normal</v>
      </c>
      <c r="L886">
        <f t="shared" si="67"/>
        <v>1</v>
      </c>
      <c r="M886">
        <f t="shared" si="68"/>
        <v>1</v>
      </c>
      <c r="N886" s="6">
        <f t="shared" si="69"/>
        <v>45662</v>
      </c>
    </row>
    <row r="887" spans="1:14" x14ac:dyDescent="0.3">
      <c r="A887">
        <v>102</v>
      </c>
      <c r="B887">
        <v>10088</v>
      </c>
      <c r="C887" t="s">
        <v>125</v>
      </c>
      <c r="D887" t="s">
        <v>29</v>
      </c>
      <c r="E887" t="s">
        <v>24</v>
      </c>
      <c r="F887" t="s">
        <v>17</v>
      </c>
      <c r="G887" t="s">
        <v>21</v>
      </c>
      <c r="H887">
        <v>94083.25</v>
      </c>
      <c r="I887">
        <v>0</v>
      </c>
      <c r="J887" t="str">
        <f t="shared" si="65"/>
        <v>High</v>
      </c>
      <c r="K887" t="str">
        <f t="shared" si="66"/>
        <v>Normal</v>
      </c>
      <c r="L887">
        <f t="shared" si="67"/>
        <v>1</v>
      </c>
      <c r="M887">
        <f t="shared" si="68"/>
        <v>1</v>
      </c>
      <c r="N887" s="6">
        <f t="shared" si="69"/>
        <v>45662</v>
      </c>
    </row>
    <row r="888" spans="1:14" x14ac:dyDescent="0.3">
      <c r="A888">
        <v>103</v>
      </c>
      <c r="B888">
        <v>10059</v>
      </c>
      <c r="C888" t="s">
        <v>126</v>
      </c>
      <c r="D888" t="s">
        <v>10</v>
      </c>
      <c r="E888" t="s">
        <v>24</v>
      </c>
      <c r="F888" t="s">
        <v>12</v>
      </c>
      <c r="G888" t="s">
        <v>31</v>
      </c>
      <c r="H888">
        <v>77613.56</v>
      </c>
      <c r="I888">
        <v>0</v>
      </c>
      <c r="J888" t="str">
        <f t="shared" si="65"/>
        <v>High</v>
      </c>
      <c r="K888" t="str">
        <f t="shared" si="66"/>
        <v>Normal</v>
      </c>
      <c r="L888">
        <f t="shared" si="67"/>
        <v>1</v>
      </c>
      <c r="M888">
        <f t="shared" si="68"/>
        <v>1</v>
      </c>
      <c r="N888" s="6">
        <f t="shared" si="69"/>
        <v>45662</v>
      </c>
    </row>
    <row r="889" spans="1:14" x14ac:dyDescent="0.3">
      <c r="A889">
        <v>104</v>
      </c>
      <c r="B889">
        <v>10040</v>
      </c>
      <c r="C889" t="s">
        <v>127</v>
      </c>
      <c r="D889" t="s">
        <v>15</v>
      </c>
      <c r="E889" t="s">
        <v>24</v>
      </c>
      <c r="F889" t="s">
        <v>17</v>
      </c>
      <c r="G889" t="s">
        <v>25</v>
      </c>
      <c r="H889">
        <v>12880.9</v>
      </c>
      <c r="I889">
        <v>0</v>
      </c>
      <c r="J889" t="str">
        <f t="shared" si="65"/>
        <v>High</v>
      </c>
      <c r="K889" t="str">
        <f t="shared" si="66"/>
        <v>Normal</v>
      </c>
      <c r="L889">
        <f t="shared" si="67"/>
        <v>1</v>
      </c>
      <c r="M889">
        <f t="shared" si="68"/>
        <v>1</v>
      </c>
      <c r="N889" s="6">
        <f t="shared" si="69"/>
        <v>45662</v>
      </c>
    </row>
    <row r="890" spans="1:14" x14ac:dyDescent="0.3">
      <c r="A890">
        <v>105</v>
      </c>
      <c r="B890">
        <v>10028</v>
      </c>
      <c r="C890" t="s">
        <v>128</v>
      </c>
      <c r="D890" t="s">
        <v>10</v>
      </c>
      <c r="E890" t="s">
        <v>16</v>
      </c>
      <c r="F890" t="s">
        <v>17</v>
      </c>
      <c r="G890" t="s">
        <v>31</v>
      </c>
      <c r="H890">
        <v>34815.96</v>
      </c>
      <c r="I890">
        <v>0</v>
      </c>
      <c r="J890" t="str">
        <f t="shared" si="65"/>
        <v>High</v>
      </c>
      <c r="K890" t="str">
        <f t="shared" si="66"/>
        <v>Normal</v>
      </c>
      <c r="L890">
        <f t="shared" si="67"/>
        <v>1</v>
      </c>
      <c r="M890">
        <f t="shared" si="68"/>
        <v>1</v>
      </c>
      <c r="N890" s="6">
        <f t="shared" si="69"/>
        <v>45662</v>
      </c>
    </row>
    <row r="891" spans="1:14" x14ac:dyDescent="0.3">
      <c r="A891">
        <v>106</v>
      </c>
      <c r="B891">
        <v>10014</v>
      </c>
      <c r="C891" t="s">
        <v>129</v>
      </c>
      <c r="D891" t="s">
        <v>23</v>
      </c>
      <c r="E891" t="s">
        <v>16</v>
      </c>
      <c r="F891" t="s">
        <v>12</v>
      </c>
      <c r="G891" t="s">
        <v>13</v>
      </c>
      <c r="H891">
        <v>43595.83</v>
      </c>
      <c r="I891">
        <v>0</v>
      </c>
      <c r="J891" t="str">
        <f t="shared" si="65"/>
        <v>High</v>
      </c>
      <c r="K891" t="str">
        <f t="shared" si="66"/>
        <v>Normal</v>
      </c>
      <c r="L891">
        <f t="shared" si="67"/>
        <v>1</v>
      </c>
      <c r="M891">
        <f t="shared" si="68"/>
        <v>1</v>
      </c>
      <c r="N891" s="6">
        <f t="shared" si="69"/>
        <v>45662</v>
      </c>
    </row>
    <row r="892" spans="1:14" x14ac:dyDescent="0.3">
      <c r="A892">
        <v>107</v>
      </c>
      <c r="B892">
        <v>10044</v>
      </c>
      <c r="C892" t="s">
        <v>130</v>
      </c>
      <c r="D892" t="s">
        <v>29</v>
      </c>
      <c r="E892" t="s">
        <v>11</v>
      </c>
      <c r="F892" t="s">
        <v>12</v>
      </c>
      <c r="G892" t="s">
        <v>18</v>
      </c>
      <c r="H892">
        <v>39656.559999999998</v>
      </c>
      <c r="I892">
        <v>0</v>
      </c>
      <c r="J892" t="str">
        <f t="shared" si="65"/>
        <v>High</v>
      </c>
      <c r="K892" t="str">
        <f t="shared" si="66"/>
        <v>Normal</v>
      </c>
      <c r="L892">
        <f t="shared" si="67"/>
        <v>1</v>
      </c>
      <c r="M892">
        <f t="shared" si="68"/>
        <v>1</v>
      </c>
      <c r="N892" s="6">
        <f t="shared" si="69"/>
        <v>45662</v>
      </c>
    </row>
    <row r="893" spans="1:14" x14ac:dyDescent="0.3">
      <c r="A893">
        <v>108</v>
      </c>
      <c r="B893">
        <v>10064</v>
      </c>
      <c r="C893" t="s">
        <v>131</v>
      </c>
      <c r="D893" t="s">
        <v>15</v>
      </c>
      <c r="E893" t="s">
        <v>11</v>
      </c>
      <c r="F893" t="s">
        <v>17</v>
      </c>
      <c r="G893" t="s">
        <v>25</v>
      </c>
      <c r="H893">
        <v>66963.929999999993</v>
      </c>
      <c r="I893">
        <v>1</v>
      </c>
      <c r="J893" t="str">
        <f t="shared" si="65"/>
        <v>High</v>
      </c>
      <c r="K893" t="str">
        <f t="shared" si="66"/>
        <v>High Risk</v>
      </c>
      <c r="L893">
        <f t="shared" si="67"/>
        <v>1</v>
      </c>
      <c r="M893">
        <f t="shared" si="68"/>
        <v>1</v>
      </c>
      <c r="N893" s="6">
        <f t="shared" si="69"/>
        <v>45662</v>
      </c>
    </row>
    <row r="894" spans="1:14" x14ac:dyDescent="0.3">
      <c r="A894">
        <v>109</v>
      </c>
      <c r="B894">
        <v>10088</v>
      </c>
      <c r="C894" t="s">
        <v>132</v>
      </c>
      <c r="D894" t="s">
        <v>15</v>
      </c>
      <c r="E894" t="s">
        <v>16</v>
      </c>
      <c r="F894" t="s">
        <v>17</v>
      </c>
      <c r="G894" t="s">
        <v>13</v>
      </c>
      <c r="H894">
        <v>89200.12</v>
      </c>
      <c r="I894">
        <v>0</v>
      </c>
      <c r="J894" t="str">
        <f t="shared" si="65"/>
        <v>High</v>
      </c>
      <c r="K894" t="str">
        <f t="shared" si="66"/>
        <v>Normal</v>
      </c>
      <c r="L894">
        <f t="shared" si="67"/>
        <v>1</v>
      </c>
      <c r="M894">
        <f t="shared" si="68"/>
        <v>1</v>
      </c>
      <c r="N894" s="6">
        <f t="shared" si="69"/>
        <v>45662</v>
      </c>
    </row>
    <row r="895" spans="1:14" x14ac:dyDescent="0.3">
      <c r="A895">
        <v>110</v>
      </c>
      <c r="B895">
        <v>10070</v>
      </c>
      <c r="C895" t="s">
        <v>133</v>
      </c>
      <c r="D895" t="s">
        <v>15</v>
      </c>
      <c r="E895" t="s">
        <v>16</v>
      </c>
      <c r="F895" t="s">
        <v>12</v>
      </c>
      <c r="G895" t="s">
        <v>21</v>
      </c>
      <c r="H895">
        <v>30674.54</v>
      </c>
      <c r="I895">
        <v>0</v>
      </c>
      <c r="J895" t="str">
        <f t="shared" si="65"/>
        <v>High</v>
      </c>
      <c r="K895" t="str">
        <f t="shared" si="66"/>
        <v>Normal</v>
      </c>
      <c r="L895">
        <f t="shared" si="67"/>
        <v>1</v>
      </c>
      <c r="M895">
        <f t="shared" si="68"/>
        <v>1</v>
      </c>
      <c r="N895" s="6">
        <f t="shared" si="69"/>
        <v>45662</v>
      </c>
    </row>
    <row r="896" spans="1:14" x14ac:dyDescent="0.3">
      <c r="A896">
        <v>111</v>
      </c>
      <c r="B896">
        <v>10008</v>
      </c>
      <c r="C896" t="s">
        <v>134</v>
      </c>
      <c r="D896" t="s">
        <v>15</v>
      </c>
      <c r="E896" t="s">
        <v>16</v>
      </c>
      <c r="F896" t="s">
        <v>17</v>
      </c>
      <c r="G896" t="s">
        <v>25</v>
      </c>
      <c r="H896">
        <v>55232.53</v>
      </c>
      <c r="I896">
        <v>0</v>
      </c>
      <c r="J896" t="str">
        <f t="shared" si="65"/>
        <v>High</v>
      </c>
      <c r="K896" t="str">
        <f t="shared" si="66"/>
        <v>Normal</v>
      </c>
      <c r="L896">
        <f t="shared" si="67"/>
        <v>1</v>
      </c>
      <c r="M896">
        <f t="shared" si="68"/>
        <v>1</v>
      </c>
      <c r="N896" s="6">
        <f t="shared" si="69"/>
        <v>45662</v>
      </c>
    </row>
    <row r="897" spans="1:14" x14ac:dyDescent="0.3">
      <c r="A897">
        <v>112</v>
      </c>
      <c r="B897">
        <v>10087</v>
      </c>
      <c r="C897" t="s">
        <v>135</v>
      </c>
      <c r="D897" t="s">
        <v>15</v>
      </c>
      <c r="E897" t="s">
        <v>16</v>
      </c>
      <c r="F897" t="s">
        <v>17</v>
      </c>
      <c r="G897" t="s">
        <v>18</v>
      </c>
      <c r="H897">
        <v>78962</v>
      </c>
      <c r="I897">
        <v>0</v>
      </c>
      <c r="J897" t="str">
        <f t="shared" si="65"/>
        <v>High</v>
      </c>
      <c r="K897" t="str">
        <f t="shared" si="66"/>
        <v>Normal</v>
      </c>
      <c r="L897">
        <f t="shared" si="67"/>
        <v>1</v>
      </c>
      <c r="M897">
        <f t="shared" si="68"/>
        <v>1</v>
      </c>
      <c r="N897" s="6">
        <f t="shared" si="69"/>
        <v>45662</v>
      </c>
    </row>
    <row r="898" spans="1:14" x14ac:dyDescent="0.3">
      <c r="A898">
        <v>113</v>
      </c>
      <c r="B898">
        <v>10000</v>
      </c>
      <c r="C898" t="s">
        <v>136</v>
      </c>
      <c r="D898" t="s">
        <v>10</v>
      </c>
      <c r="E898" t="s">
        <v>11</v>
      </c>
      <c r="F898" t="s">
        <v>17</v>
      </c>
      <c r="G898" t="s">
        <v>18</v>
      </c>
      <c r="H898">
        <v>41680.18</v>
      </c>
      <c r="I898">
        <v>0</v>
      </c>
      <c r="J898" t="str">
        <f t="shared" ref="J898:J961" si="70">IF(E898&gt;50000,"High","Normal")</f>
        <v>High</v>
      </c>
      <c r="K898" t="str">
        <f t="shared" ref="K898:K961" si="71">IF(AND(H898&gt;50000,E898="Online"),"High Risk","Normal")</f>
        <v>Normal</v>
      </c>
      <c r="L898">
        <f t="shared" ref="L898:L961" si="72">COUNTIFS(C:C,C898,B:B,B898)</f>
        <v>1</v>
      </c>
      <c r="M898">
        <f t="shared" ref="M898:M961" si="73">IF(E898&gt;50000,1,0) + IF(H898="Unusual",1,0) + IF(I898&gt;3,1,0)</f>
        <v>1</v>
      </c>
      <c r="N898" s="6">
        <f t="shared" ref="N898:N961" si="74">INT(C898)</f>
        <v>45662</v>
      </c>
    </row>
    <row r="899" spans="1:14" x14ac:dyDescent="0.3">
      <c r="A899">
        <v>114</v>
      </c>
      <c r="B899">
        <v>10007</v>
      </c>
      <c r="C899" t="s">
        <v>137</v>
      </c>
      <c r="D899" t="s">
        <v>29</v>
      </c>
      <c r="E899" t="s">
        <v>16</v>
      </c>
      <c r="F899" t="s">
        <v>17</v>
      </c>
      <c r="G899" t="s">
        <v>21</v>
      </c>
      <c r="H899">
        <v>16895</v>
      </c>
      <c r="I899">
        <v>0</v>
      </c>
      <c r="J899" t="str">
        <f t="shared" si="70"/>
        <v>High</v>
      </c>
      <c r="K899" t="str">
        <f t="shared" si="71"/>
        <v>Normal</v>
      </c>
      <c r="L899">
        <f t="shared" si="72"/>
        <v>1</v>
      </c>
      <c r="M899">
        <f t="shared" si="73"/>
        <v>1</v>
      </c>
      <c r="N899" s="6">
        <f t="shared" si="74"/>
        <v>45662</v>
      </c>
    </row>
    <row r="900" spans="1:14" x14ac:dyDescent="0.3">
      <c r="A900">
        <v>115</v>
      </c>
      <c r="B900">
        <v>10087</v>
      </c>
      <c r="C900" t="s">
        <v>138</v>
      </c>
      <c r="D900" t="s">
        <v>23</v>
      </c>
      <c r="E900" t="s">
        <v>11</v>
      </c>
      <c r="F900" t="s">
        <v>17</v>
      </c>
      <c r="G900" t="s">
        <v>21</v>
      </c>
      <c r="H900">
        <v>47547.6</v>
      </c>
      <c r="I900">
        <v>0</v>
      </c>
      <c r="J900" t="str">
        <f t="shared" si="70"/>
        <v>High</v>
      </c>
      <c r="K900" t="str">
        <f t="shared" si="71"/>
        <v>Normal</v>
      </c>
      <c r="L900">
        <f t="shared" si="72"/>
        <v>1</v>
      </c>
      <c r="M900">
        <f t="shared" si="73"/>
        <v>1</v>
      </c>
      <c r="N900" s="6">
        <f t="shared" si="74"/>
        <v>45662</v>
      </c>
    </row>
    <row r="901" spans="1:14" x14ac:dyDescent="0.3">
      <c r="A901">
        <v>116</v>
      </c>
      <c r="B901">
        <v>10062</v>
      </c>
      <c r="C901" t="s">
        <v>139</v>
      </c>
      <c r="D901" t="s">
        <v>23</v>
      </c>
      <c r="E901" t="s">
        <v>16</v>
      </c>
      <c r="F901" t="s">
        <v>17</v>
      </c>
      <c r="G901" t="s">
        <v>25</v>
      </c>
      <c r="H901">
        <v>5616.73</v>
      </c>
      <c r="I901">
        <v>0</v>
      </c>
      <c r="J901" t="str">
        <f t="shared" si="70"/>
        <v>High</v>
      </c>
      <c r="K901" t="str">
        <f t="shared" si="71"/>
        <v>Normal</v>
      </c>
      <c r="L901">
        <f t="shared" si="72"/>
        <v>1</v>
      </c>
      <c r="M901">
        <f t="shared" si="73"/>
        <v>1</v>
      </c>
      <c r="N901" s="6">
        <f t="shared" si="74"/>
        <v>45662</v>
      </c>
    </row>
    <row r="902" spans="1:14" x14ac:dyDescent="0.3">
      <c r="A902">
        <v>117</v>
      </c>
      <c r="B902">
        <v>10010</v>
      </c>
      <c r="C902" t="s">
        <v>140</v>
      </c>
      <c r="D902" t="s">
        <v>23</v>
      </c>
      <c r="E902" t="s">
        <v>16</v>
      </c>
      <c r="F902" t="s">
        <v>17</v>
      </c>
      <c r="G902" t="s">
        <v>31</v>
      </c>
      <c r="H902">
        <v>94244.11</v>
      </c>
      <c r="I902">
        <v>0</v>
      </c>
      <c r="J902" t="str">
        <f t="shared" si="70"/>
        <v>High</v>
      </c>
      <c r="K902" t="str">
        <f t="shared" si="71"/>
        <v>Normal</v>
      </c>
      <c r="L902">
        <f t="shared" si="72"/>
        <v>1</v>
      </c>
      <c r="M902">
        <f t="shared" si="73"/>
        <v>1</v>
      </c>
      <c r="N902" s="6">
        <f t="shared" si="74"/>
        <v>45662</v>
      </c>
    </row>
    <row r="903" spans="1:14" x14ac:dyDescent="0.3">
      <c r="A903">
        <v>118</v>
      </c>
      <c r="B903">
        <v>10080</v>
      </c>
      <c r="C903" t="s">
        <v>141</v>
      </c>
      <c r="D903" t="s">
        <v>23</v>
      </c>
      <c r="E903" t="s">
        <v>16</v>
      </c>
      <c r="F903" t="s">
        <v>12</v>
      </c>
      <c r="G903" t="s">
        <v>21</v>
      </c>
      <c r="H903">
        <v>7574.64</v>
      </c>
      <c r="I903">
        <v>0</v>
      </c>
      <c r="J903" t="str">
        <f t="shared" si="70"/>
        <v>High</v>
      </c>
      <c r="K903" t="str">
        <f t="shared" si="71"/>
        <v>Normal</v>
      </c>
      <c r="L903">
        <f t="shared" si="72"/>
        <v>1</v>
      </c>
      <c r="M903">
        <f t="shared" si="73"/>
        <v>1</v>
      </c>
      <c r="N903" s="6">
        <f t="shared" si="74"/>
        <v>45662</v>
      </c>
    </row>
    <row r="904" spans="1:14" x14ac:dyDescent="0.3">
      <c r="A904">
        <v>119</v>
      </c>
      <c r="B904">
        <v>10007</v>
      </c>
      <c r="C904" t="s">
        <v>142</v>
      </c>
      <c r="D904" t="s">
        <v>10</v>
      </c>
      <c r="E904" t="s">
        <v>11</v>
      </c>
      <c r="F904" t="s">
        <v>12</v>
      </c>
      <c r="G904" t="s">
        <v>31</v>
      </c>
      <c r="H904">
        <v>43901.83</v>
      </c>
      <c r="I904">
        <v>0</v>
      </c>
      <c r="J904" t="str">
        <f t="shared" si="70"/>
        <v>High</v>
      </c>
      <c r="K904" t="str">
        <f t="shared" si="71"/>
        <v>Normal</v>
      </c>
      <c r="L904">
        <f t="shared" si="72"/>
        <v>1</v>
      </c>
      <c r="M904">
        <f t="shared" si="73"/>
        <v>1</v>
      </c>
      <c r="N904" s="6">
        <f t="shared" si="74"/>
        <v>45662</v>
      </c>
    </row>
    <row r="905" spans="1:14" x14ac:dyDescent="0.3">
      <c r="A905">
        <v>120</v>
      </c>
      <c r="B905">
        <v>10034</v>
      </c>
      <c r="C905" t="s">
        <v>143</v>
      </c>
      <c r="D905" t="s">
        <v>20</v>
      </c>
      <c r="E905" t="s">
        <v>11</v>
      </c>
      <c r="F905" t="s">
        <v>12</v>
      </c>
      <c r="G905" t="s">
        <v>13</v>
      </c>
      <c r="H905">
        <v>53035.14</v>
      </c>
      <c r="I905">
        <v>1</v>
      </c>
      <c r="J905" t="str">
        <f t="shared" si="70"/>
        <v>High</v>
      </c>
      <c r="K905" t="str">
        <f t="shared" si="71"/>
        <v>High Risk</v>
      </c>
      <c r="L905">
        <f t="shared" si="72"/>
        <v>1</v>
      </c>
      <c r="M905">
        <f t="shared" si="73"/>
        <v>1</v>
      </c>
      <c r="N905" s="6">
        <f t="shared" si="74"/>
        <v>45662</v>
      </c>
    </row>
    <row r="906" spans="1:14" x14ac:dyDescent="0.3">
      <c r="A906">
        <v>73</v>
      </c>
      <c r="B906">
        <v>10001</v>
      </c>
      <c r="C906" t="s">
        <v>96</v>
      </c>
      <c r="D906" t="s">
        <v>23</v>
      </c>
      <c r="E906" t="s">
        <v>11</v>
      </c>
      <c r="F906" t="s">
        <v>12</v>
      </c>
      <c r="G906" t="s">
        <v>21</v>
      </c>
      <c r="H906">
        <v>95358.16</v>
      </c>
      <c r="I906">
        <v>1</v>
      </c>
      <c r="J906" t="str">
        <f t="shared" si="70"/>
        <v>High</v>
      </c>
      <c r="K906" t="str">
        <f t="shared" si="71"/>
        <v>High Risk</v>
      </c>
      <c r="L906">
        <f t="shared" si="72"/>
        <v>1</v>
      </c>
      <c r="M906">
        <f t="shared" si="73"/>
        <v>1</v>
      </c>
      <c r="N906" s="6">
        <f t="shared" si="74"/>
        <v>45661</v>
      </c>
    </row>
    <row r="907" spans="1:14" x14ac:dyDescent="0.3">
      <c r="A907">
        <v>74</v>
      </c>
      <c r="B907">
        <v>10005</v>
      </c>
      <c r="C907" t="s">
        <v>97</v>
      </c>
      <c r="D907" t="s">
        <v>15</v>
      </c>
      <c r="E907" t="s">
        <v>11</v>
      </c>
      <c r="F907" t="s">
        <v>12</v>
      </c>
      <c r="G907" t="s">
        <v>21</v>
      </c>
      <c r="H907">
        <v>88173.4</v>
      </c>
      <c r="I907">
        <v>1</v>
      </c>
      <c r="J907" t="str">
        <f t="shared" si="70"/>
        <v>High</v>
      </c>
      <c r="K907" t="str">
        <f t="shared" si="71"/>
        <v>High Risk</v>
      </c>
      <c r="L907">
        <f t="shared" si="72"/>
        <v>1</v>
      </c>
      <c r="M907">
        <f t="shared" si="73"/>
        <v>1</v>
      </c>
      <c r="N907" s="6">
        <f t="shared" si="74"/>
        <v>45661</v>
      </c>
    </row>
    <row r="908" spans="1:14" x14ac:dyDescent="0.3">
      <c r="A908">
        <v>75</v>
      </c>
      <c r="B908">
        <v>10053</v>
      </c>
      <c r="C908" t="s">
        <v>98</v>
      </c>
      <c r="D908" t="s">
        <v>29</v>
      </c>
      <c r="E908" t="s">
        <v>16</v>
      </c>
      <c r="F908" t="s">
        <v>17</v>
      </c>
      <c r="G908" t="s">
        <v>25</v>
      </c>
      <c r="H908">
        <v>58491.53</v>
      </c>
      <c r="I908">
        <v>0</v>
      </c>
      <c r="J908" t="str">
        <f t="shared" si="70"/>
        <v>High</v>
      </c>
      <c r="K908" t="str">
        <f t="shared" si="71"/>
        <v>Normal</v>
      </c>
      <c r="L908">
        <f t="shared" si="72"/>
        <v>1</v>
      </c>
      <c r="M908">
        <f t="shared" si="73"/>
        <v>1</v>
      </c>
      <c r="N908" s="6">
        <f t="shared" si="74"/>
        <v>45661</v>
      </c>
    </row>
    <row r="909" spans="1:14" x14ac:dyDescent="0.3">
      <c r="A909">
        <v>76</v>
      </c>
      <c r="B909">
        <v>10003</v>
      </c>
      <c r="C909" t="s">
        <v>99</v>
      </c>
      <c r="D909" t="s">
        <v>20</v>
      </c>
      <c r="E909" t="s">
        <v>24</v>
      </c>
      <c r="F909" t="s">
        <v>17</v>
      </c>
      <c r="G909" t="s">
        <v>18</v>
      </c>
      <c r="H909">
        <v>83395.820000000007</v>
      </c>
      <c r="I909">
        <v>0</v>
      </c>
      <c r="J909" t="str">
        <f t="shared" si="70"/>
        <v>High</v>
      </c>
      <c r="K909" t="str">
        <f t="shared" si="71"/>
        <v>Normal</v>
      </c>
      <c r="L909">
        <f t="shared" si="72"/>
        <v>1</v>
      </c>
      <c r="M909">
        <f t="shared" si="73"/>
        <v>1</v>
      </c>
      <c r="N909" s="6">
        <f t="shared" si="74"/>
        <v>45661</v>
      </c>
    </row>
    <row r="910" spans="1:14" x14ac:dyDescent="0.3">
      <c r="A910">
        <v>77</v>
      </c>
      <c r="B910">
        <v>10053</v>
      </c>
      <c r="C910" t="s">
        <v>100</v>
      </c>
      <c r="D910" t="s">
        <v>20</v>
      </c>
      <c r="E910" t="s">
        <v>24</v>
      </c>
      <c r="F910" t="s">
        <v>12</v>
      </c>
      <c r="G910" t="s">
        <v>31</v>
      </c>
      <c r="H910">
        <v>64293.5</v>
      </c>
      <c r="I910">
        <v>0</v>
      </c>
      <c r="J910" t="str">
        <f t="shared" si="70"/>
        <v>High</v>
      </c>
      <c r="K910" t="str">
        <f t="shared" si="71"/>
        <v>Normal</v>
      </c>
      <c r="L910">
        <f t="shared" si="72"/>
        <v>1</v>
      </c>
      <c r="M910">
        <f t="shared" si="73"/>
        <v>1</v>
      </c>
      <c r="N910" s="6">
        <f t="shared" si="74"/>
        <v>45661</v>
      </c>
    </row>
    <row r="911" spans="1:14" x14ac:dyDescent="0.3">
      <c r="A911">
        <v>78</v>
      </c>
      <c r="B911">
        <v>10092</v>
      </c>
      <c r="C911" t="s">
        <v>101</v>
      </c>
      <c r="D911" t="s">
        <v>10</v>
      </c>
      <c r="E911" t="s">
        <v>16</v>
      </c>
      <c r="F911" t="s">
        <v>17</v>
      </c>
      <c r="G911" t="s">
        <v>18</v>
      </c>
      <c r="H911">
        <v>7947.93</v>
      </c>
      <c r="I911">
        <v>0</v>
      </c>
      <c r="J911" t="str">
        <f t="shared" si="70"/>
        <v>High</v>
      </c>
      <c r="K911" t="str">
        <f t="shared" si="71"/>
        <v>Normal</v>
      </c>
      <c r="L911">
        <f t="shared" si="72"/>
        <v>1</v>
      </c>
      <c r="M911">
        <f t="shared" si="73"/>
        <v>1</v>
      </c>
      <c r="N911" s="6">
        <f t="shared" si="74"/>
        <v>45661</v>
      </c>
    </row>
    <row r="912" spans="1:14" x14ac:dyDescent="0.3">
      <c r="A912">
        <v>79</v>
      </c>
      <c r="B912">
        <v>10062</v>
      </c>
      <c r="C912" t="s">
        <v>102</v>
      </c>
      <c r="D912" t="s">
        <v>29</v>
      </c>
      <c r="E912" t="s">
        <v>16</v>
      </c>
      <c r="F912" t="s">
        <v>12</v>
      </c>
      <c r="G912" t="s">
        <v>25</v>
      </c>
      <c r="H912">
        <v>74082.42</v>
      </c>
      <c r="I912">
        <v>0</v>
      </c>
      <c r="J912" t="str">
        <f t="shared" si="70"/>
        <v>High</v>
      </c>
      <c r="K912" t="str">
        <f t="shared" si="71"/>
        <v>Normal</v>
      </c>
      <c r="L912">
        <f t="shared" si="72"/>
        <v>1</v>
      </c>
      <c r="M912">
        <f t="shared" si="73"/>
        <v>1</v>
      </c>
      <c r="N912" s="6">
        <f t="shared" si="74"/>
        <v>45661</v>
      </c>
    </row>
    <row r="913" spans="1:14" x14ac:dyDescent="0.3">
      <c r="A913">
        <v>80</v>
      </c>
      <c r="B913">
        <v>10017</v>
      </c>
      <c r="C913" t="s">
        <v>103</v>
      </c>
      <c r="D913" t="s">
        <v>23</v>
      </c>
      <c r="E913" t="s">
        <v>24</v>
      </c>
      <c r="F913" t="s">
        <v>17</v>
      </c>
      <c r="G913" t="s">
        <v>18</v>
      </c>
      <c r="H913">
        <v>9581.35</v>
      </c>
      <c r="I913">
        <v>0</v>
      </c>
      <c r="J913" t="str">
        <f t="shared" si="70"/>
        <v>High</v>
      </c>
      <c r="K913" t="str">
        <f t="shared" si="71"/>
        <v>Normal</v>
      </c>
      <c r="L913">
        <f t="shared" si="72"/>
        <v>1</v>
      </c>
      <c r="M913">
        <f t="shared" si="73"/>
        <v>1</v>
      </c>
      <c r="N913" s="6">
        <f t="shared" si="74"/>
        <v>45661</v>
      </c>
    </row>
    <row r="914" spans="1:14" x14ac:dyDescent="0.3">
      <c r="A914">
        <v>81</v>
      </c>
      <c r="B914">
        <v>10089</v>
      </c>
      <c r="C914" t="s">
        <v>104</v>
      </c>
      <c r="D914" t="s">
        <v>15</v>
      </c>
      <c r="E914" t="s">
        <v>24</v>
      </c>
      <c r="F914" t="s">
        <v>17</v>
      </c>
      <c r="G914" t="s">
        <v>18</v>
      </c>
      <c r="H914">
        <v>59448.87</v>
      </c>
      <c r="I914">
        <v>0</v>
      </c>
      <c r="J914" t="str">
        <f t="shared" si="70"/>
        <v>High</v>
      </c>
      <c r="K914" t="str">
        <f t="shared" si="71"/>
        <v>Normal</v>
      </c>
      <c r="L914">
        <f t="shared" si="72"/>
        <v>1</v>
      </c>
      <c r="M914">
        <f t="shared" si="73"/>
        <v>1</v>
      </c>
      <c r="N914" s="6">
        <f t="shared" si="74"/>
        <v>45661</v>
      </c>
    </row>
    <row r="915" spans="1:14" x14ac:dyDescent="0.3">
      <c r="A915">
        <v>82</v>
      </c>
      <c r="B915">
        <v>10043</v>
      </c>
      <c r="C915" t="s">
        <v>105</v>
      </c>
      <c r="D915" t="s">
        <v>10</v>
      </c>
      <c r="E915" t="s">
        <v>24</v>
      </c>
      <c r="F915" t="s">
        <v>17</v>
      </c>
      <c r="G915" t="s">
        <v>25</v>
      </c>
      <c r="H915">
        <v>70293.759999999995</v>
      </c>
      <c r="I915">
        <v>0</v>
      </c>
      <c r="J915" t="str">
        <f t="shared" si="70"/>
        <v>High</v>
      </c>
      <c r="K915" t="str">
        <f t="shared" si="71"/>
        <v>Normal</v>
      </c>
      <c r="L915">
        <f t="shared" si="72"/>
        <v>1</v>
      </c>
      <c r="M915">
        <f t="shared" si="73"/>
        <v>1</v>
      </c>
      <c r="N915" s="6">
        <f t="shared" si="74"/>
        <v>45661</v>
      </c>
    </row>
    <row r="916" spans="1:14" x14ac:dyDescent="0.3">
      <c r="A916">
        <v>83</v>
      </c>
      <c r="B916">
        <v>10033</v>
      </c>
      <c r="C916" t="s">
        <v>106</v>
      </c>
      <c r="D916" t="s">
        <v>20</v>
      </c>
      <c r="E916" t="s">
        <v>24</v>
      </c>
      <c r="F916" t="s">
        <v>17</v>
      </c>
      <c r="G916" t="s">
        <v>21</v>
      </c>
      <c r="H916">
        <v>6746.11</v>
      </c>
      <c r="I916">
        <v>0</v>
      </c>
      <c r="J916" t="str">
        <f t="shared" si="70"/>
        <v>High</v>
      </c>
      <c r="K916" t="str">
        <f t="shared" si="71"/>
        <v>Normal</v>
      </c>
      <c r="L916">
        <f t="shared" si="72"/>
        <v>1</v>
      </c>
      <c r="M916">
        <f t="shared" si="73"/>
        <v>1</v>
      </c>
      <c r="N916" s="6">
        <f t="shared" si="74"/>
        <v>45661</v>
      </c>
    </row>
    <row r="917" spans="1:14" x14ac:dyDescent="0.3">
      <c r="A917">
        <v>84</v>
      </c>
      <c r="B917">
        <v>10073</v>
      </c>
      <c r="C917" t="s">
        <v>107</v>
      </c>
      <c r="D917" t="s">
        <v>23</v>
      </c>
      <c r="E917" t="s">
        <v>24</v>
      </c>
      <c r="F917" t="s">
        <v>12</v>
      </c>
      <c r="G917" t="s">
        <v>31</v>
      </c>
      <c r="H917">
        <v>23156.39</v>
      </c>
      <c r="I917">
        <v>0</v>
      </c>
      <c r="J917" t="str">
        <f t="shared" si="70"/>
        <v>High</v>
      </c>
      <c r="K917" t="str">
        <f t="shared" si="71"/>
        <v>Normal</v>
      </c>
      <c r="L917">
        <f t="shared" si="72"/>
        <v>1</v>
      </c>
      <c r="M917">
        <f t="shared" si="73"/>
        <v>1</v>
      </c>
      <c r="N917" s="6">
        <f t="shared" si="74"/>
        <v>45661</v>
      </c>
    </row>
    <row r="918" spans="1:14" x14ac:dyDescent="0.3">
      <c r="A918">
        <v>85</v>
      </c>
      <c r="B918">
        <v>10061</v>
      </c>
      <c r="C918" t="s">
        <v>108</v>
      </c>
      <c r="D918" t="s">
        <v>23</v>
      </c>
      <c r="E918" t="s">
        <v>11</v>
      </c>
      <c r="F918" t="s">
        <v>17</v>
      </c>
      <c r="G918" t="s">
        <v>25</v>
      </c>
      <c r="H918">
        <v>91575.66</v>
      </c>
      <c r="I918">
        <v>1</v>
      </c>
      <c r="J918" t="str">
        <f t="shared" si="70"/>
        <v>High</v>
      </c>
      <c r="K918" t="str">
        <f t="shared" si="71"/>
        <v>High Risk</v>
      </c>
      <c r="L918">
        <f t="shared" si="72"/>
        <v>1</v>
      </c>
      <c r="M918">
        <f t="shared" si="73"/>
        <v>1</v>
      </c>
      <c r="N918" s="6">
        <f t="shared" si="74"/>
        <v>45661</v>
      </c>
    </row>
    <row r="919" spans="1:14" x14ac:dyDescent="0.3">
      <c r="A919">
        <v>86</v>
      </c>
      <c r="B919">
        <v>10099</v>
      </c>
      <c r="C919" t="s">
        <v>109</v>
      </c>
      <c r="D919" t="s">
        <v>15</v>
      </c>
      <c r="E919" t="s">
        <v>16</v>
      </c>
      <c r="F919" t="s">
        <v>12</v>
      </c>
      <c r="G919" t="s">
        <v>13</v>
      </c>
      <c r="H919">
        <v>61669.82</v>
      </c>
      <c r="I919">
        <v>0</v>
      </c>
      <c r="J919" t="str">
        <f t="shared" si="70"/>
        <v>High</v>
      </c>
      <c r="K919" t="str">
        <f t="shared" si="71"/>
        <v>Normal</v>
      </c>
      <c r="L919">
        <f t="shared" si="72"/>
        <v>1</v>
      </c>
      <c r="M919">
        <f t="shared" si="73"/>
        <v>1</v>
      </c>
      <c r="N919" s="6">
        <f t="shared" si="74"/>
        <v>45661</v>
      </c>
    </row>
    <row r="920" spans="1:14" x14ac:dyDescent="0.3">
      <c r="A920">
        <v>87</v>
      </c>
      <c r="B920">
        <v>10013</v>
      </c>
      <c r="C920" t="s">
        <v>110</v>
      </c>
      <c r="D920" t="s">
        <v>20</v>
      </c>
      <c r="E920" t="s">
        <v>11</v>
      </c>
      <c r="F920" t="s">
        <v>12</v>
      </c>
      <c r="G920" t="s">
        <v>21</v>
      </c>
      <c r="H920">
        <v>24703.97</v>
      </c>
      <c r="I920">
        <v>0</v>
      </c>
      <c r="J920" t="str">
        <f t="shared" si="70"/>
        <v>High</v>
      </c>
      <c r="K920" t="str">
        <f t="shared" si="71"/>
        <v>Normal</v>
      </c>
      <c r="L920">
        <f t="shared" si="72"/>
        <v>1</v>
      </c>
      <c r="M920">
        <f t="shared" si="73"/>
        <v>1</v>
      </c>
      <c r="N920" s="6">
        <f t="shared" si="74"/>
        <v>45661</v>
      </c>
    </row>
    <row r="921" spans="1:14" x14ac:dyDescent="0.3">
      <c r="A921">
        <v>88</v>
      </c>
      <c r="B921">
        <v>10094</v>
      </c>
      <c r="C921" t="s">
        <v>111</v>
      </c>
      <c r="D921" t="s">
        <v>29</v>
      </c>
      <c r="E921" t="s">
        <v>24</v>
      </c>
      <c r="F921" t="s">
        <v>12</v>
      </c>
      <c r="G921" t="s">
        <v>13</v>
      </c>
      <c r="H921">
        <v>69098.91</v>
      </c>
      <c r="I921">
        <v>0</v>
      </c>
      <c r="J921" t="str">
        <f t="shared" si="70"/>
        <v>High</v>
      </c>
      <c r="K921" t="str">
        <f t="shared" si="71"/>
        <v>Normal</v>
      </c>
      <c r="L921">
        <f t="shared" si="72"/>
        <v>1</v>
      </c>
      <c r="M921">
        <f t="shared" si="73"/>
        <v>1</v>
      </c>
      <c r="N921" s="6">
        <f t="shared" si="74"/>
        <v>45661</v>
      </c>
    </row>
    <row r="922" spans="1:14" x14ac:dyDescent="0.3">
      <c r="A922">
        <v>89</v>
      </c>
      <c r="B922">
        <v>10047</v>
      </c>
      <c r="C922" t="s">
        <v>112</v>
      </c>
      <c r="D922" t="s">
        <v>23</v>
      </c>
      <c r="E922" t="s">
        <v>24</v>
      </c>
      <c r="F922" t="s">
        <v>17</v>
      </c>
      <c r="G922" t="s">
        <v>21</v>
      </c>
      <c r="H922">
        <v>59717.96</v>
      </c>
      <c r="I922">
        <v>0</v>
      </c>
      <c r="J922" t="str">
        <f t="shared" si="70"/>
        <v>High</v>
      </c>
      <c r="K922" t="str">
        <f t="shared" si="71"/>
        <v>Normal</v>
      </c>
      <c r="L922">
        <f t="shared" si="72"/>
        <v>1</v>
      </c>
      <c r="M922">
        <f t="shared" si="73"/>
        <v>1</v>
      </c>
      <c r="N922" s="6">
        <f t="shared" si="74"/>
        <v>45661</v>
      </c>
    </row>
    <row r="923" spans="1:14" x14ac:dyDescent="0.3">
      <c r="A923">
        <v>90</v>
      </c>
      <c r="B923">
        <v>10014</v>
      </c>
      <c r="C923" t="s">
        <v>113</v>
      </c>
      <c r="D923" t="s">
        <v>15</v>
      </c>
      <c r="E923" t="s">
        <v>24</v>
      </c>
      <c r="F923" t="s">
        <v>12</v>
      </c>
      <c r="G923" t="s">
        <v>31</v>
      </c>
      <c r="H923">
        <v>50207.41</v>
      </c>
      <c r="I923">
        <v>0</v>
      </c>
      <c r="J923" t="str">
        <f t="shared" si="70"/>
        <v>High</v>
      </c>
      <c r="K923" t="str">
        <f t="shared" si="71"/>
        <v>Normal</v>
      </c>
      <c r="L923">
        <f t="shared" si="72"/>
        <v>1</v>
      </c>
      <c r="M923">
        <f t="shared" si="73"/>
        <v>1</v>
      </c>
      <c r="N923" s="6">
        <f t="shared" si="74"/>
        <v>45661</v>
      </c>
    </row>
    <row r="924" spans="1:14" x14ac:dyDescent="0.3">
      <c r="A924">
        <v>91</v>
      </c>
      <c r="B924">
        <v>10071</v>
      </c>
      <c r="C924" t="s">
        <v>114</v>
      </c>
      <c r="D924" t="s">
        <v>29</v>
      </c>
      <c r="E924" t="s">
        <v>11</v>
      </c>
      <c r="F924" t="s">
        <v>12</v>
      </c>
      <c r="G924" t="s">
        <v>31</v>
      </c>
      <c r="H924">
        <v>97621.08</v>
      </c>
      <c r="I924">
        <v>1</v>
      </c>
      <c r="J924" t="str">
        <f t="shared" si="70"/>
        <v>High</v>
      </c>
      <c r="K924" t="str">
        <f t="shared" si="71"/>
        <v>High Risk</v>
      </c>
      <c r="L924">
        <f t="shared" si="72"/>
        <v>1</v>
      </c>
      <c r="M924">
        <f t="shared" si="73"/>
        <v>1</v>
      </c>
      <c r="N924" s="6">
        <f t="shared" si="74"/>
        <v>45661</v>
      </c>
    </row>
    <row r="925" spans="1:14" x14ac:dyDescent="0.3">
      <c r="A925">
        <v>92</v>
      </c>
      <c r="B925">
        <v>10077</v>
      </c>
      <c r="C925" t="s">
        <v>115</v>
      </c>
      <c r="D925" t="s">
        <v>20</v>
      </c>
      <c r="E925" t="s">
        <v>11</v>
      </c>
      <c r="F925" t="s">
        <v>12</v>
      </c>
      <c r="G925" t="s">
        <v>18</v>
      </c>
      <c r="H925">
        <v>68377.03</v>
      </c>
      <c r="I925">
        <v>1</v>
      </c>
      <c r="J925" t="str">
        <f t="shared" si="70"/>
        <v>High</v>
      </c>
      <c r="K925" t="str">
        <f t="shared" si="71"/>
        <v>High Risk</v>
      </c>
      <c r="L925">
        <f t="shared" si="72"/>
        <v>1</v>
      </c>
      <c r="M925">
        <f t="shared" si="73"/>
        <v>1</v>
      </c>
      <c r="N925" s="6">
        <f t="shared" si="74"/>
        <v>45661</v>
      </c>
    </row>
    <row r="926" spans="1:14" x14ac:dyDescent="0.3">
      <c r="A926">
        <v>93</v>
      </c>
      <c r="B926">
        <v>10086</v>
      </c>
      <c r="C926" t="s">
        <v>116</v>
      </c>
      <c r="D926" t="s">
        <v>23</v>
      </c>
      <c r="E926" t="s">
        <v>24</v>
      </c>
      <c r="F926" t="s">
        <v>17</v>
      </c>
      <c r="G926" t="s">
        <v>13</v>
      </c>
      <c r="H926">
        <v>37606.57</v>
      </c>
      <c r="I926">
        <v>0</v>
      </c>
      <c r="J926" t="str">
        <f t="shared" si="70"/>
        <v>High</v>
      </c>
      <c r="K926" t="str">
        <f t="shared" si="71"/>
        <v>Normal</v>
      </c>
      <c r="L926">
        <f t="shared" si="72"/>
        <v>1</v>
      </c>
      <c r="M926">
        <f t="shared" si="73"/>
        <v>1</v>
      </c>
      <c r="N926" s="6">
        <f t="shared" si="74"/>
        <v>45661</v>
      </c>
    </row>
    <row r="927" spans="1:14" x14ac:dyDescent="0.3">
      <c r="A927">
        <v>94</v>
      </c>
      <c r="B927">
        <v>10061</v>
      </c>
      <c r="C927" t="s">
        <v>117</v>
      </c>
      <c r="D927" t="s">
        <v>29</v>
      </c>
      <c r="E927" t="s">
        <v>11</v>
      </c>
      <c r="F927" t="s">
        <v>17</v>
      </c>
      <c r="G927" t="s">
        <v>21</v>
      </c>
      <c r="H927">
        <v>80027.34</v>
      </c>
      <c r="I927">
        <v>1</v>
      </c>
      <c r="J927" t="str">
        <f t="shared" si="70"/>
        <v>High</v>
      </c>
      <c r="K927" t="str">
        <f t="shared" si="71"/>
        <v>High Risk</v>
      </c>
      <c r="L927">
        <f t="shared" si="72"/>
        <v>1</v>
      </c>
      <c r="M927">
        <f t="shared" si="73"/>
        <v>1</v>
      </c>
      <c r="N927" s="6">
        <f t="shared" si="74"/>
        <v>45661</v>
      </c>
    </row>
    <row r="928" spans="1:14" x14ac:dyDescent="0.3">
      <c r="A928">
        <v>95</v>
      </c>
      <c r="B928">
        <v>10039</v>
      </c>
      <c r="C928" t="s">
        <v>118</v>
      </c>
      <c r="D928" t="s">
        <v>29</v>
      </c>
      <c r="E928" t="s">
        <v>11</v>
      </c>
      <c r="F928" t="s">
        <v>12</v>
      </c>
      <c r="G928" t="s">
        <v>31</v>
      </c>
      <c r="H928">
        <v>88469.87</v>
      </c>
      <c r="I928">
        <v>1</v>
      </c>
      <c r="J928" t="str">
        <f t="shared" si="70"/>
        <v>High</v>
      </c>
      <c r="K928" t="str">
        <f t="shared" si="71"/>
        <v>High Risk</v>
      </c>
      <c r="L928">
        <f t="shared" si="72"/>
        <v>1</v>
      </c>
      <c r="M928">
        <f t="shared" si="73"/>
        <v>1</v>
      </c>
      <c r="N928" s="6">
        <f t="shared" si="74"/>
        <v>45661</v>
      </c>
    </row>
    <row r="929" spans="1:14" x14ac:dyDescent="0.3">
      <c r="A929">
        <v>96</v>
      </c>
      <c r="B929">
        <v>10084</v>
      </c>
      <c r="C929" t="s">
        <v>119</v>
      </c>
      <c r="D929" t="s">
        <v>29</v>
      </c>
      <c r="E929" t="s">
        <v>24</v>
      </c>
      <c r="F929" t="s">
        <v>17</v>
      </c>
      <c r="G929" t="s">
        <v>25</v>
      </c>
      <c r="H929">
        <v>12609.53</v>
      </c>
      <c r="I929">
        <v>0</v>
      </c>
      <c r="J929" t="str">
        <f t="shared" si="70"/>
        <v>High</v>
      </c>
      <c r="K929" t="str">
        <f t="shared" si="71"/>
        <v>Normal</v>
      </c>
      <c r="L929">
        <f t="shared" si="72"/>
        <v>1</v>
      </c>
      <c r="M929">
        <f t="shared" si="73"/>
        <v>1</v>
      </c>
      <c r="N929" s="6">
        <f t="shared" si="74"/>
        <v>45661</v>
      </c>
    </row>
    <row r="930" spans="1:14" x14ac:dyDescent="0.3">
      <c r="A930">
        <v>49</v>
      </c>
      <c r="B930">
        <v>10072</v>
      </c>
      <c r="C930" t="s">
        <v>72</v>
      </c>
      <c r="D930" t="s">
        <v>15</v>
      </c>
      <c r="E930" t="s">
        <v>24</v>
      </c>
      <c r="F930" t="s">
        <v>12</v>
      </c>
      <c r="G930" t="s">
        <v>21</v>
      </c>
      <c r="H930">
        <v>92512.21</v>
      </c>
      <c r="I930">
        <v>0</v>
      </c>
      <c r="J930" t="str">
        <f t="shared" si="70"/>
        <v>High</v>
      </c>
      <c r="K930" t="str">
        <f t="shared" si="71"/>
        <v>Normal</v>
      </c>
      <c r="L930">
        <f t="shared" si="72"/>
        <v>1</v>
      </c>
      <c r="M930">
        <f t="shared" si="73"/>
        <v>1</v>
      </c>
      <c r="N930" s="6">
        <f t="shared" si="74"/>
        <v>45660</v>
      </c>
    </row>
    <row r="931" spans="1:14" x14ac:dyDescent="0.3">
      <c r="A931">
        <v>50</v>
      </c>
      <c r="B931">
        <v>10038</v>
      </c>
      <c r="C931" t="s">
        <v>73</v>
      </c>
      <c r="D931" t="s">
        <v>10</v>
      </c>
      <c r="E931" t="s">
        <v>24</v>
      </c>
      <c r="F931" t="s">
        <v>12</v>
      </c>
      <c r="G931" t="s">
        <v>13</v>
      </c>
      <c r="H931">
        <v>63201.19</v>
      </c>
      <c r="I931">
        <v>0</v>
      </c>
      <c r="J931" t="str">
        <f t="shared" si="70"/>
        <v>High</v>
      </c>
      <c r="K931" t="str">
        <f t="shared" si="71"/>
        <v>Normal</v>
      </c>
      <c r="L931">
        <f t="shared" si="72"/>
        <v>1</v>
      </c>
      <c r="M931">
        <f t="shared" si="73"/>
        <v>1</v>
      </c>
      <c r="N931" s="6">
        <f t="shared" si="74"/>
        <v>45660</v>
      </c>
    </row>
    <row r="932" spans="1:14" x14ac:dyDescent="0.3">
      <c r="A932">
        <v>51</v>
      </c>
      <c r="B932">
        <v>10017</v>
      </c>
      <c r="C932" t="s">
        <v>74</v>
      </c>
      <c r="D932" t="s">
        <v>29</v>
      </c>
      <c r="E932" t="s">
        <v>11</v>
      </c>
      <c r="F932" t="s">
        <v>12</v>
      </c>
      <c r="G932" t="s">
        <v>21</v>
      </c>
      <c r="H932">
        <v>5533.64</v>
      </c>
      <c r="I932">
        <v>0</v>
      </c>
      <c r="J932" t="str">
        <f t="shared" si="70"/>
        <v>High</v>
      </c>
      <c r="K932" t="str">
        <f t="shared" si="71"/>
        <v>Normal</v>
      </c>
      <c r="L932">
        <f t="shared" si="72"/>
        <v>1</v>
      </c>
      <c r="M932">
        <f t="shared" si="73"/>
        <v>1</v>
      </c>
      <c r="N932" s="6">
        <f t="shared" si="74"/>
        <v>45660</v>
      </c>
    </row>
    <row r="933" spans="1:14" x14ac:dyDescent="0.3">
      <c r="A933">
        <v>52</v>
      </c>
      <c r="B933">
        <v>10003</v>
      </c>
      <c r="C933" t="s">
        <v>75</v>
      </c>
      <c r="D933" t="s">
        <v>23</v>
      </c>
      <c r="E933" t="s">
        <v>11</v>
      </c>
      <c r="F933" t="s">
        <v>12</v>
      </c>
      <c r="G933" t="s">
        <v>31</v>
      </c>
      <c r="H933">
        <v>64461.25</v>
      </c>
      <c r="I933">
        <v>1</v>
      </c>
      <c r="J933" t="str">
        <f t="shared" si="70"/>
        <v>High</v>
      </c>
      <c r="K933" t="str">
        <f t="shared" si="71"/>
        <v>High Risk</v>
      </c>
      <c r="L933">
        <f t="shared" si="72"/>
        <v>1</v>
      </c>
      <c r="M933">
        <f t="shared" si="73"/>
        <v>1</v>
      </c>
      <c r="N933" s="6">
        <f t="shared" si="74"/>
        <v>45660</v>
      </c>
    </row>
    <row r="934" spans="1:14" x14ac:dyDescent="0.3">
      <c r="A934">
        <v>53</v>
      </c>
      <c r="B934">
        <v>10088</v>
      </c>
      <c r="C934" t="s">
        <v>76</v>
      </c>
      <c r="D934" t="s">
        <v>20</v>
      </c>
      <c r="E934" t="s">
        <v>16</v>
      </c>
      <c r="F934" t="s">
        <v>12</v>
      </c>
      <c r="G934" t="s">
        <v>18</v>
      </c>
      <c r="H934">
        <v>97427.34</v>
      </c>
      <c r="I934">
        <v>0</v>
      </c>
      <c r="J934" t="str">
        <f t="shared" si="70"/>
        <v>High</v>
      </c>
      <c r="K934" t="str">
        <f t="shared" si="71"/>
        <v>Normal</v>
      </c>
      <c r="L934">
        <f t="shared" si="72"/>
        <v>1</v>
      </c>
      <c r="M934">
        <f t="shared" si="73"/>
        <v>1</v>
      </c>
      <c r="N934" s="6">
        <f t="shared" si="74"/>
        <v>45660</v>
      </c>
    </row>
    <row r="935" spans="1:14" x14ac:dyDescent="0.3">
      <c r="A935">
        <v>54</v>
      </c>
      <c r="B935">
        <v>10059</v>
      </c>
      <c r="C935" t="s">
        <v>77</v>
      </c>
      <c r="D935" t="s">
        <v>29</v>
      </c>
      <c r="E935" t="s">
        <v>16</v>
      </c>
      <c r="F935" t="s">
        <v>17</v>
      </c>
      <c r="G935" t="s">
        <v>18</v>
      </c>
      <c r="H935">
        <v>7073.09</v>
      </c>
      <c r="I935">
        <v>0</v>
      </c>
      <c r="J935" t="str">
        <f t="shared" si="70"/>
        <v>High</v>
      </c>
      <c r="K935" t="str">
        <f t="shared" si="71"/>
        <v>Normal</v>
      </c>
      <c r="L935">
        <f t="shared" si="72"/>
        <v>1</v>
      </c>
      <c r="M935">
        <f t="shared" si="73"/>
        <v>1</v>
      </c>
      <c r="N935" s="6">
        <f t="shared" si="74"/>
        <v>45660</v>
      </c>
    </row>
    <row r="936" spans="1:14" x14ac:dyDescent="0.3">
      <c r="A936">
        <v>55</v>
      </c>
      <c r="B936">
        <v>10013</v>
      </c>
      <c r="C936" t="s">
        <v>78</v>
      </c>
      <c r="D936" t="s">
        <v>23</v>
      </c>
      <c r="E936" t="s">
        <v>11</v>
      </c>
      <c r="F936" t="s">
        <v>12</v>
      </c>
      <c r="G936" t="s">
        <v>18</v>
      </c>
      <c r="H936">
        <v>55513.3</v>
      </c>
      <c r="I936">
        <v>1</v>
      </c>
      <c r="J936" t="str">
        <f t="shared" si="70"/>
        <v>High</v>
      </c>
      <c r="K936" t="str">
        <f t="shared" si="71"/>
        <v>High Risk</v>
      </c>
      <c r="L936">
        <f t="shared" si="72"/>
        <v>1</v>
      </c>
      <c r="M936">
        <f t="shared" si="73"/>
        <v>1</v>
      </c>
      <c r="N936" s="6">
        <f t="shared" si="74"/>
        <v>45660</v>
      </c>
    </row>
    <row r="937" spans="1:14" x14ac:dyDescent="0.3">
      <c r="A937">
        <v>56</v>
      </c>
      <c r="B937">
        <v>10008</v>
      </c>
      <c r="C937" t="s">
        <v>79</v>
      </c>
      <c r="D937" t="s">
        <v>23</v>
      </c>
      <c r="E937" t="s">
        <v>16</v>
      </c>
      <c r="F937" t="s">
        <v>12</v>
      </c>
      <c r="G937" t="s">
        <v>25</v>
      </c>
      <c r="H937">
        <v>74804.66</v>
      </c>
      <c r="I937">
        <v>0</v>
      </c>
      <c r="J937" t="str">
        <f t="shared" si="70"/>
        <v>High</v>
      </c>
      <c r="K937" t="str">
        <f t="shared" si="71"/>
        <v>Normal</v>
      </c>
      <c r="L937">
        <f t="shared" si="72"/>
        <v>1</v>
      </c>
      <c r="M937">
        <f t="shared" si="73"/>
        <v>1</v>
      </c>
      <c r="N937" s="6">
        <f t="shared" si="74"/>
        <v>45660</v>
      </c>
    </row>
    <row r="938" spans="1:14" x14ac:dyDescent="0.3">
      <c r="A938">
        <v>57</v>
      </c>
      <c r="B938">
        <v>10089</v>
      </c>
      <c r="C938" t="s">
        <v>80</v>
      </c>
      <c r="D938" t="s">
        <v>15</v>
      </c>
      <c r="E938" t="s">
        <v>11</v>
      </c>
      <c r="F938" t="s">
        <v>12</v>
      </c>
      <c r="G938" t="s">
        <v>21</v>
      </c>
      <c r="H938">
        <v>81044.83</v>
      </c>
      <c r="I938">
        <v>1</v>
      </c>
      <c r="J938" t="str">
        <f t="shared" si="70"/>
        <v>High</v>
      </c>
      <c r="K938" t="str">
        <f t="shared" si="71"/>
        <v>High Risk</v>
      </c>
      <c r="L938">
        <f t="shared" si="72"/>
        <v>1</v>
      </c>
      <c r="M938">
        <f t="shared" si="73"/>
        <v>1</v>
      </c>
      <c r="N938" s="6">
        <f t="shared" si="74"/>
        <v>45660</v>
      </c>
    </row>
    <row r="939" spans="1:14" x14ac:dyDescent="0.3">
      <c r="A939">
        <v>58</v>
      </c>
      <c r="B939">
        <v>10052</v>
      </c>
      <c r="C939" t="s">
        <v>81</v>
      </c>
      <c r="D939" t="s">
        <v>10</v>
      </c>
      <c r="E939" t="s">
        <v>24</v>
      </c>
      <c r="F939" t="s">
        <v>12</v>
      </c>
      <c r="G939" t="s">
        <v>31</v>
      </c>
      <c r="H939">
        <v>41441.360000000001</v>
      </c>
      <c r="I939">
        <v>0</v>
      </c>
      <c r="J939" t="str">
        <f t="shared" si="70"/>
        <v>High</v>
      </c>
      <c r="K939" t="str">
        <f t="shared" si="71"/>
        <v>Normal</v>
      </c>
      <c r="L939">
        <f t="shared" si="72"/>
        <v>1</v>
      </c>
      <c r="M939">
        <f t="shared" si="73"/>
        <v>1</v>
      </c>
      <c r="N939" s="6">
        <f t="shared" si="74"/>
        <v>45660</v>
      </c>
    </row>
    <row r="940" spans="1:14" x14ac:dyDescent="0.3">
      <c r="A940">
        <v>59</v>
      </c>
      <c r="B940">
        <v>10001</v>
      </c>
      <c r="C940" t="s">
        <v>82</v>
      </c>
      <c r="D940" t="s">
        <v>10</v>
      </c>
      <c r="E940" t="s">
        <v>24</v>
      </c>
      <c r="F940" t="s">
        <v>17</v>
      </c>
      <c r="G940" t="s">
        <v>25</v>
      </c>
      <c r="H940">
        <v>20496.240000000002</v>
      </c>
      <c r="I940">
        <v>0</v>
      </c>
      <c r="J940" t="str">
        <f t="shared" si="70"/>
        <v>High</v>
      </c>
      <c r="K940" t="str">
        <f t="shared" si="71"/>
        <v>Normal</v>
      </c>
      <c r="L940">
        <f t="shared" si="72"/>
        <v>1</v>
      </c>
      <c r="M940">
        <f t="shared" si="73"/>
        <v>1</v>
      </c>
      <c r="N940" s="6">
        <f t="shared" si="74"/>
        <v>45660</v>
      </c>
    </row>
    <row r="941" spans="1:14" x14ac:dyDescent="0.3">
      <c r="A941">
        <v>60</v>
      </c>
      <c r="B941">
        <v>10083</v>
      </c>
      <c r="C941" t="s">
        <v>83</v>
      </c>
      <c r="D941" t="s">
        <v>29</v>
      </c>
      <c r="E941" t="s">
        <v>16</v>
      </c>
      <c r="F941" t="s">
        <v>17</v>
      </c>
      <c r="G941" t="s">
        <v>13</v>
      </c>
      <c r="H941">
        <v>4329.99</v>
      </c>
      <c r="I941">
        <v>0</v>
      </c>
      <c r="J941" t="str">
        <f t="shared" si="70"/>
        <v>High</v>
      </c>
      <c r="K941" t="str">
        <f t="shared" si="71"/>
        <v>Normal</v>
      </c>
      <c r="L941">
        <f t="shared" si="72"/>
        <v>1</v>
      </c>
      <c r="M941">
        <f t="shared" si="73"/>
        <v>1</v>
      </c>
      <c r="N941" s="6">
        <f t="shared" si="74"/>
        <v>45660</v>
      </c>
    </row>
    <row r="942" spans="1:14" x14ac:dyDescent="0.3">
      <c r="A942">
        <v>61</v>
      </c>
      <c r="B942">
        <v>10091</v>
      </c>
      <c r="C942" t="s">
        <v>84</v>
      </c>
      <c r="D942" t="s">
        <v>10</v>
      </c>
      <c r="E942" t="s">
        <v>11</v>
      </c>
      <c r="F942" t="s">
        <v>17</v>
      </c>
      <c r="G942" t="s">
        <v>31</v>
      </c>
      <c r="H942">
        <v>58014.64</v>
      </c>
      <c r="I942">
        <v>1</v>
      </c>
      <c r="J942" t="str">
        <f t="shared" si="70"/>
        <v>High</v>
      </c>
      <c r="K942" t="str">
        <f t="shared" si="71"/>
        <v>High Risk</v>
      </c>
      <c r="L942">
        <f t="shared" si="72"/>
        <v>1</v>
      </c>
      <c r="M942">
        <f t="shared" si="73"/>
        <v>1</v>
      </c>
      <c r="N942" s="6">
        <f t="shared" si="74"/>
        <v>45660</v>
      </c>
    </row>
    <row r="943" spans="1:14" x14ac:dyDescent="0.3">
      <c r="A943">
        <v>62</v>
      </c>
      <c r="B943">
        <v>10059</v>
      </c>
      <c r="C943" t="s">
        <v>85</v>
      </c>
      <c r="D943" t="s">
        <v>20</v>
      </c>
      <c r="E943" t="s">
        <v>11</v>
      </c>
      <c r="F943" t="s">
        <v>12</v>
      </c>
      <c r="G943" t="s">
        <v>31</v>
      </c>
      <c r="H943">
        <v>45345.82</v>
      </c>
      <c r="I943">
        <v>0</v>
      </c>
      <c r="J943" t="str">
        <f t="shared" si="70"/>
        <v>High</v>
      </c>
      <c r="K943" t="str">
        <f t="shared" si="71"/>
        <v>Normal</v>
      </c>
      <c r="L943">
        <f t="shared" si="72"/>
        <v>1</v>
      </c>
      <c r="M943">
        <f t="shared" si="73"/>
        <v>1</v>
      </c>
      <c r="N943" s="6">
        <f t="shared" si="74"/>
        <v>45660</v>
      </c>
    </row>
    <row r="944" spans="1:14" x14ac:dyDescent="0.3">
      <c r="A944">
        <v>63</v>
      </c>
      <c r="B944">
        <v>10070</v>
      </c>
      <c r="C944" t="s">
        <v>86</v>
      </c>
      <c r="D944" t="s">
        <v>10</v>
      </c>
      <c r="E944" t="s">
        <v>16</v>
      </c>
      <c r="F944" t="s">
        <v>12</v>
      </c>
      <c r="G944" t="s">
        <v>31</v>
      </c>
      <c r="H944">
        <v>94879.57</v>
      </c>
      <c r="I944">
        <v>0</v>
      </c>
      <c r="J944" t="str">
        <f t="shared" si="70"/>
        <v>High</v>
      </c>
      <c r="K944" t="str">
        <f t="shared" si="71"/>
        <v>Normal</v>
      </c>
      <c r="L944">
        <f t="shared" si="72"/>
        <v>1</v>
      </c>
      <c r="M944">
        <f t="shared" si="73"/>
        <v>1</v>
      </c>
      <c r="N944" s="6">
        <f t="shared" si="74"/>
        <v>45660</v>
      </c>
    </row>
    <row r="945" spans="1:14" x14ac:dyDescent="0.3">
      <c r="A945">
        <v>64</v>
      </c>
      <c r="B945">
        <v>10043</v>
      </c>
      <c r="C945" t="s">
        <v>87</v>
      </c>
      <c r="D945" t="s">
        <v>29</v>
      </c>
      <c r="E945" t="s">
        <v>11</v>
      </c>
      <c r="F945" t="s">
        <v>17</v>
      </c>
      <c r="G945" t="s">
        <v>18</v>
      </c>
      <c r="H945">
        <v>6154.43</v>
      </c>
      <c r="I945">
        <v>0</v>
      </c>
      <c r="J945" t="str">
        <f t="shared" si="70"/>
        <v>High</v>
      </c>
      <c r="K945" t="str">
        <f t="shared" si="71"/>
        <v>Normal</v>
      </c>
      <c r="L945">
        <f t="shared" si="72"/>
        <v>1</v>
      </c>
      <c r="M945">
        <f t="shared" si="73"/>
        <v>1</v>
      </c>
      <c r="N945" s="6">
        <f t="shared" si="74"/>
        <v>45660</v>
      </c>
    </row>
    <row r="946" spans="1:14" x14ac:dyDescent="0.3">
      <c r="A946">
        <v>65</v>
      </c>
      <c r="B946">
        <v>10007</v>
      </c>
      <c r="C946" t="s">
        <v>88</v>
      </c>
      <c r="D946" t="s">
        <v>10</v>
      </c>
      <c r="E946" t="s">
        <v>24</v>
      </c>
      <c r="F946" t="s">
        <v>17</v>
      </c>
      <c r="G946" t="s">
        <v>31</v>
      </c>
      <c r="H946">
        <v>68570.990000000005</v>
      </c>
      <c r="I946">
        <v>0</v>
      </c>
      <c r="J946" t="str">
        <f t="shared" si="70"/>
        <v>High</v>
      </c>
      <c r="K946" t="str">
        <f t="shared" si="71"/>
        <v>Normal</v>
      </c>
      <c r="L946">
        <f t="shared" si="72"/>
        <v>1</v>
      </c>
      <c r="M946">
        <f t="shared" si="73"/>
        <v>1</v>
      </c>
      <c r="N946" s="6">
        <f t="shared" si="74"/>
        <v>45660</v>
      </c>
    </row>
    <row r="947" spans="1:14" x14ac:dyDescent="0.3">
      <c r="A947">
        <v>66</v>
      </c>
      <c r="B947">
        <v>10046</v>
      </c>
      <c r="C947" t="s">
        <v>89</v>
      </c>
      <c r="D947" t="s">
        <v>20</v>
      </c>
      <c r="E947" t="s">
        <v>16</v>
      </c>
      <c r="F947" t="s">
        <v>17</v>
      </c>
      <c r="G947" t="s">
        <v>21</v>
      </c>
      <c r="H947">
        <v>2594.13</v>
      </c>
      <c r="I947">
        <v>0</v>
      </c>
      <c r="J947" t="str">
        <f t="shared" si="70"/>
        <v>High</v>
      </c>
      <c r="K947" t="str">
        <f t="shared" si="71"/>
        <v>Normal</v>
      </c>
      <c r="L947">
        <f t="shared" si="72"/>
        <v>1</v>
      </c>
      <c r="M947">
        <f t="shared" si="73"/>
        <v>1</v>
      </c>
      <c r="N947" s="6">
        <f t="shared" si="74"/>
        <v>45660</v>
      </c>
    </row>
    <row r="948" spans="1:14" x14ac:dyDescent="0.3">
      <c r="A948">
        <v>67</v>
      </c>
      <c r="B948">
        <v>10034</v>
      </c>
      <c r="C948" t="s">
        <v>90</v>
      </c>
      <c r="D948" t="s">
        <v>15</v>
      </c>
      <c r="E948" t="s">
        <v>16</v>
      </c>
      <c r="F948" t="s">
        <v>12</v>
      </c>
      <c r="G948" t="s">
        <v>31</v>
      </c>
      <c r="H948">
        <v>17226.27</v>
      </c>
      <c r="I948">
        <v>0</v>
      </c>
      <c r="J948" t="str">
        <f t="shared" si="70"/>
        <v>High</v>
      </c>
      <c r="K948" t="str">
        <f t="shared" si="71"/>
        <v>Normal</v>
      </c>
      <c r="L948">
        <f t="shared" si="72"/>
        <v>1</v>
      </c>
      <c r="M948">
        <f t="shared" si="73"/>
        <v>1</v>
      </c>
      <c r="N948" s="6">
        <f t="shared" si="74"/>
        <v>45660</v>
      </c>
    </row>
    <row r="949" spans="1:14" x14ac:dyDescent="0.3">
      <c r="A949">
        <v>68</v>
      </c>
      <c r="B949">
        <v>10077</v>
      </c>
      <c r="C949" t="s">
        <v>91</v>
      </c>
      <c r="D949" t="s">
        <v>29</v>
      </c>
      <c r="E949" t="s">
        <v>11</v>
      </c>
      <c r="F949" t="s">
        <v>12</v>
      </c>
      <c r="G949" t="s">
        <v>18</v>
      </c>
      <c r="H949">
        <v>45412.54</v>
      </c>
      <c r="I949">
        <v>0</v>
      </c>
      <c r="J949" t="str">
        <f t="shared" si="70"/>
        <v>High</v>
      </c>
      <c r="K949" t="str">
        <f t="shared" si="71"/>
        <v>Normal</v>
      </c>
      <c r="L949">
        <f t="shared" si="72"/>
        <v>1</v>
      </c>
      <c r="M949">
        <f t="shared" si="73"/>
        <v>1</v>
      </c>
      <c r="N949" s="6">
        <f t="shared" si="74"/>
        <v>45660</v>
      </c>
    </row>
    <row r="950" spans="1:14" x14ac:dyDescent="0.3">
      <c r="A950">
        <v>69</v>
      </c>
      <c r="B950">
        <v>10080</v>
      </c>
      <c r="C950" t="s">
        <v>92</v>
      </c>
      <c r="D950" t="s">
        <v>15</v>
      </c>
      <c r="E950" t="s">
        <v>16</v>
      </c>
      <c r="F950" t="s">
        <v>17</v>
      </c>
      <c r="G950" t="s">
        <v>31</v>
      </c>
      <c r="H950">
        <v>45541.760000000002</v>
      </c>
      <c r="I950">
        <v>0</v>
      </c>
      <c r="J950" t="str">
        <f t="shared" si="70"/>
        <v>High</v>
      </c>
      <c r="K950" t="str">
        <f t="shared" si="71"/>
        <v>Normal</v>
      </c>
      <c r="L950">
        <f t="shared" si="72"/>
        <v>1</v>
      </c>
      <c r="M950">
        <f t="shared" si="73"/>
        <v>1</v>
      </c>
      <c r="N950" s="6">
        <f t="shared" si="74"/>
        <v>45660</v>
      </c>
    </row>
    <row r="951" spans="1:14" x14ac:dyDescent="0.3">
      <c r="A951">
        <v>70</v>
      </c>
      <c r="B951">
        <v>10035</v>
      </c>
      <c r="C951" t="s">
        <v>93</v>
      </c>
      <c r="D951" t="s">
        <v>15</v>
      </c>
      <c r="E951" t="s">
        <v>11</v>
      </c>
      <c r="F951" t="s">
        <v>17</v>
      </c>
      <c r="G951" t="s">
        <v>13</v>
      </c>
      <c r="H951">
        <v>68601.48</v>
      </c>
      <c r="I951">
        <v>1</v>
      </c>
      <c r="J951" t="str">
        <f t="shared" si="70"/>
        <v>High</v>
      </c>
      <c r="K951" t="str">
        <f t="shared" si="71"/>
        <v>High Risk</v>
      </c>
      <c r="L951">
        <f t="shared" si="72"/>
        <v>1</v>
      </c>
      <c r="M951">
        <f t="shared" si="73"/>
        <v>1</v>
      </c>
      <c r="N951" s="6">
        <f t="shared" si="74"/>
        <v>45660</v>
      </c>
    </row>
    <row r="952" spans="1:14" x14ac:dyDescent="0.3">
      <c r="A952">
        <v>71</v>
      </c>
      <c r="B952">
        <v>10049</v>
      </c>
      <c r="C952" t="s">
        <v>94</v>
      </c>
      <c r="D952" t="s">
        <v>15</v>
      </c>
      <c r="E952" t="s">
        <v>11</v>
      </c>
      <c r="F952" t="s">
        <v>17</v>
      </c>
      <c r="G952" t="s">
        <v>13</v>
      </c>
      <c r="H952">
        <v>91030.28</v>
      </c>
      <c r="I952">
        <v>1</v>
      </c>
      <c r="J952" t="str">
        <f t="shared" si="70"/>
        <v>High</v>
      </c>
      <c r="K952" t="str">
        <f t="shared" si="71"/>
        <v>High Risk</v>
      </c>
      <c r="L952">
        <f t="shared" si="72"/>
        <v>1</v>
      </c>
      <c r="M952">
        <f t="shared" si="73"/>
        <v>1</v>
      </c>
      <c r="N952" s="6">
        <f t="shared" si="74"/>
        <v>45660</v>
      </c>
    </row>
    <row r="953" spans="1:14" x14ac:dyDescent="0.3">
      <c r="A953">
        <v>72</v>
      </c>
      <c r="B953">
        <v>10003</v>
      </c>
      <c r="C953" t="s">
        <v>95</v>
      </c>
      <c r="D953" t="s">
        <v>23</v>
      </c>
      <c r="E953" t="s">
        <v>11</v>
      </c>
      <c r="F953" t="s">
        <v>12</v>
      </c>
      <c r="G953" t="s">
        <v>18</v>
      </c>
      <c r="H953">
        <v>63939.31</v>
      </c>
      <c r="I953">
        <v>1</v>
      </c>
      <c r="J953" t="str">
        <f t="shared" si="70"/>
        <v>High</v>
      </c>
      <c r="K953" t="str">
        <f t="shared" si="71"/>
        <v>High Risk</v>
      </c>
      <c r="L953">
        <f t="shared" si="72"/>
        <v>1</v>
      </c>
      <c r="M953">
        <f t="shared" si="73"/>
        <v>1</v>
      </c>
      <c r="N953" s="6">
        <f t="shared" si="74"/>
        <v>45660</v>
      </c>
    </row>
    <row r="954" spans="1:14" x14ac:dyDescent="0.3">
      <c r="A954">
        <v>25</v>
      </c>
      <c r="B954">
        <v>10032</v>
      </c>
      <c r="C954" t="s">
        <v>48</v>
      </c>
      <c r="D954" t="s">
        <v>20</v>
      </c>
      <c r="E954" t="s">
        <v>24</v>
      </c>
      <c r="F954" t="s">
        <v>17</v>
      </c>
      <c r="G954" t="s">
        <v>31</v>
      </c>
      <c r="H954">
        <v>7025.9</v>
      </c>
      <c r="I954">
        <v>0</v>
      </c>
      <c r="J954" t="str">
        <f t="shared" si="70"/>
        <v>High</v>
      </c>
      <c r="K954" t="str">
        <f t="shared" si="71"/>
        <v>Normal</v>
      </c>
      <c r="L954">
        <f t="shared" si="72"/>
        <v>1</v>
      </c>
      <c r="M954">
        <f t="shared" si="73"/>
        <v>1</v>
      </c>
      <c r="N954" s="6">
        <f t="shared" si="74"/>
        <v>45659</v>
      </c>
    </row>
    <row r="955" spans="1:14" x14ac:dyDescent="0.3">
      <c r="A955">
        <v>26</v>
      </c>
      <c r="B955">
        <v>10075</v>
      </c>
      <c r="C955" t="s">
        <v>49</v>
      </c>
      <c r="D955" t="s">
        <v>10</v>
      </c>
      <c r="E955" t="s">
        <v>24</v>
      </c>
      <c r="F955" t="s">
        <v>17</v>
      </c>
      <c r="G955" t="s">
        <v>13</v>
      </c>
      <c r="H955">
        <v>63868.39</v>
      </c>
      <c r="I955">
        <v>0</v>
      </c>
      <c r="J955" t="str">
        <f t="shared" si="70"/>
        <v>High</v>
      </c>
      <c r="K955" t="str">
        <f t="shared" si="71"/>
        <v>Normal</v>
      </c>
      <c r="L955">
        <f t="shared" si="72"/>
        <v>1</v>
      </c>
      <c r="M955">
        <f t="shared" si="73"/>
        <v>1</v>
      </c>
      <c r="N955" s="6">
        <f t="shared" si="74"/>
        <v>45659</v>
      </c>
    </row>
    <row r="956" spans="1:14" x14ac:dyDescent="0.3">
      <c r="A956">
        <v>27</v>
      </c>
      <c r="B956">
        <v>10057</v>
      </c>
      <c r="C956" t="s">
        <v>50</v>
      </c>
      <c r="D956" t="s">
        <v>20</v>
      </c>
      <c r="E956" t="s">
        <v>24</v>
      </c>
      <c r="F956" t="s">
        <v>12</v>
      </c>
      <c r="G956" t="s">
        <v>13</v>
      </c>
      <c r="H956">
        <v>73327.06</v>
      </c>
      <c r="I956">
        <v>0</v>
      </c>
      <c r="J956" t="str">
        <f t="shared" si="70"/>
        <v>High</v>
      </c>
      <c r="K956" t="str">
        <f t="shared" si="71"/>
        <v>Normal</v>
      </c>
      <c r="L956">
        <f t="shared" si="72"/>
        <v>1</v>
      </c>
      <c r="M956">
        <f t="shared" si="73"/>
        <v>1</v>
      </c>
      <c r="N956" s="6">
        <f t="shared" si="74"/>
        <v>45659</v>
      </c>
    </row>
    <row r="957" spans="1:14" x14ac:dyDescent="0.3">
      <c r="A957">
        <v>28</v>
      </c>
      <c r="B957">
        <v>10021</v>
      </c>
      <c r="C957" t="s">
        <v>51</v>
      </c>
      <c r="D957" t="s">
        <v>20</v>
      </c>
      <c r="E957" t="s">
        <v>24</v>
      </c>
      <c r="F957" t="s">
        <v>17</v>
      </c>
      <c r="G957" t="s">
        <v>31</v>
      </c>
      <c r="H957">
        <v>67644.929999999993</v>
      </c>
      <c r="I957">
        <v>0</v>
      </c>
      <c r="J957" t="str">
        <f t="shared" si="70"/>
        <v>High</v>
      </c>
      <c r="K957" t="str">
        <f t="shared" si="71"/>
        <v>Normal</v>
      </c>
      <c r="L957">
        <f t="shared" si="72"/>
        <v>1</v>
      </c>
      <c r="M957">
        <f t="shared" si="73"/>
        <v>1</v>
      </c>
      <c r="N957" s="6">
        <f t="shared" si="74"/>
        <v>45659</v>
      </c>
    </row>
    <row r="958" spans="1:14" x14ac:dyDescent="0.3">
      <c r="A958">
        <v>29</v>
      </c>
      <c r="B958">
        <v>10088</v>
      </c>
      <c r="C958" t="s">
        <v>52</v>
      </c>
      <c r="D958" t="s">
        <v>23</v>
      </c>
      <c r="E958" t="s">
        <v>24</v>
      </c>
      <c r="F958" t="s">
        <v>17</v>
      </c>
      <c r="G958" t="s">
        <v>18</v>
      </c>
      <c r="H958">
        <v>13929.71</v>
      </c>
      <c r="I958">
        <v>0</v>
      </c>
      <c r="J958" t="str">
        <f t="shared" si="70"/>
        <v>High</v>
      </c>
      <c r="K958" t="str">
        <f t="shared" si="71"/>
        <v>Normal</v>
      </c>
      <c r="L958">
        <f t="shared" si="72"/>
        <v>1</v>
      </c>
      <c r="M958">
        <f t="shared" si="73"/>
        <v>1</v>
      </c>
      <c r="N958" s="6">
        <f t="shared" si="74"/>
        <v>45659</v>
      </c>
    </row>
    <row r="959" spans="1:14" x14ac:dyDescent="0.3">
      <c r="A959">
        <v>30</v>
      </c>
      <c r="B959">
        <v>10048</v>
      </c>
      <c r="C959" t="s">
        <v>53</v>
      </c>
      <c r="D959" t="s">
        <v>20</v>
      </c>
      <c r="E959" t="s">
        <v>16</v>
      </c>
      <c r="F959" t="s">
        <v>12</v>
      </c>
      <c r="G959" t="s">
        <v>25</v>
      </c>
      <c r="H959">
        <v>57926.13</v>
      </c>
      <c r="I959">
        <v>0</v>
      </c>
      <c r="J959" t="str">
        <f t="shared" si="70"/>
        <v>High</v>
      </c>
      <c r="K959" t="str">
        <f t="shared" si="71"/>
        <v>Normal</v>
      </c>
      <c r="L959">
        <f t="shared" si="72"/>
        <v>1</v>
      </c>
      <c r="M959">
        <f t="shared" si="73"/>
        <v>1</v>
      </c>
      <c r="N959" s="6">
        <f t="shared" si="74"/>
        <v>45659</v>
      </c>
    </row>
    <row r="960" spans="1:14" x14ac:dyDescent="0.3">
      <c r="A960">
        <v>31</v>
      </c>
      <c r="B960">
        <v>10090</v>
      </c>
      <c r="C960" t="s">
        <v>54</v>
      </c>
      <c r="D960" t="s">
        <v>15</v>
      </c>
      <c r="E960" t="s">
        <v>11</v>
      </c>
      <c r="F960" t="s">
        <v>12</v>
      </c>
      <c r="G960" t="s">
        <v>21</v>
      </c>
      <c r="H960">
        <v>56991.5</v>
      </c>
      <c r="I960">
        <v>1</v>
      </c>
      <c r="J960" t="str">
        <f t="shared" si="70"/>
        <v>High</v>
      </c>
      <c r="K960" t="str">
        <f t="shared" si="71"/>
        <v>High Risk</v>
      </c>
      <c r="L960">
        <f t="shared" si="72"/>
        <v>1</v>
      </c>
      <c r="M960">
        <f t="shared" si="73"/>
        <v>1</v>
      </c>
      <c r="N960" s="6">
        <f t="shared" si="74"/>
        <v>45659</v>
      </c>
    </row>
    <row r="961" spans="1:14" x14ac:dyDescent="0.3">
      <c r="A961">
        <v>32</v>
      </c>
      <c r="B961">
        <v>10058</v>
      </c>
      <c r="C961" t="s">
        <v>55</v>
      </c>
      <c r="D961" t="s">
        <v>23</v>
      </c>
      <c r="E961" t="s">
        <v>11</v>
      </c>
      <c r="F961" t="s">
        <v>12</v>
      </c>
      <c r="G961" t="s">
        <v>18</v>
      </c>
      <c r="H961">
        <v>86854.24</v>
      </c>
      <c r="I961">
        <v>1</v>
      </c>
      <c r="J961" t="str">
        <f t="shared" si="70"/>
        <v>High</v>
      </c>
      <c r="K961" t="str">
        <f t="shared" si="71"/>
        <v>High Risk</v>
      </c>
      <c r="L961">
        <f t="shared" si="72"/>
        <v>1</v>
      </c>
      <c r="M961">
        <f t="shared" si="73"/>
        <v>1</v>
      </c>
      <c r="N961" s="6">
        <f t="shared" si="74"/>
        <v>45659</v>
      </c>
    </row>
    <row r="962" spans="1:14" x14ac:dyDescent="0.3">
      <c r="A962">
        <v>33</v>
      </c>
      <c r="B962">
        <v>10041</v>
      </c>
      <c r="C962" t="s">
        <v>56</v>
      </c>
      <c r="D962" t="s">
        <v>15</v>
      </c>
      <c r="E962" t="s">
        <v>11</v>
      </c>
      <c r="F962" t="s">
        <v>12</v>
      </c>
      <c r="G962" t="s">
        <v>31</v>
      </c>
      <c r="H962">
        <v>37974.85</v>
      </c>
      <c r="I962">
        <v>0</v>
      </c>
      <c r="J962" t="str">
        <f t="shared" ref="J962:J1001" si="75">IF(E962&gt;50000,"High","Normal")</f>
        <v>High</v>
      </c>
      <c r="K962" t="str">
        <f t="shared" ref="K962:K1001" si="76">IF(AND(H962&gt;50000,E962="Online"),"High Risk","Normal")</f>
        <v>Normal</v>
      </c>
      <c r="L962">
        <f t="shared" ref="L962:L1001" si="77">COUNTIFS(C:C,C962,B:B,B962)</f>
        <v>1</v>
      </c>
      <c r="M962">
        <f t="shared" ref="M962:M1001" si="78">IF(E962&gt;50000,1,0) + IF(H962="Unusual",1,0) + IF(I962&gt;3,1,0)</f>
        <v>1</v>
      </c>
      <c r="N962" s="6">
        <f t="shared" ref="N962:N1001" si="79">INT(C962)</f>
        <v>45659</v>
      </c>
    </row>
    <row r="963" spans="1:14" x14ac:dyDescent="0.3">
      <c r="A963">
        <v>34</v>
      </c>
      <c r="B963">
        <v>10091</v>
      </c>
      <c r="C963" t="s">
        <v>57</v>
      </c>
      <c r="D963" t="s">
        <v>10</v>
      </c>
      <c r="E963" t="s">
        <v>11</v>
      </c>
      <c r="F963" t="s">
        <v>17</v>
      </c>
      <c r="G963" t="s">
        <v>21</v>
      </c>
      <c r="H963">
        <v>37211.449999999997</v>
      </c>
      <c r="I963">
        <v>0</v>
      </c>
      <c r="J963" t="str">
        <f t="shared" si="75"/>
        <v>High</v>
      </c>
      <c r="K963" t="str">
        <f t="shared" si="76"/>
        <v>Normal</v>
      </c>
      <c r="L963">
        <f t="shared" si="77"/>
        <v>1</v>
      </c>
      <c r="M963">
        <f t="shared" si="78"/>
        <v>1</v>
      </c>
      <c r="N963" s="6">
        <f t="shared" si="79"/>
        <v>45659</v>
      </c>
    </row>
    <row r="964" spans="1:14" x14ac:dyDescent="0.3">
      <c r="A964">
        <v>35</v>
      </c>
      <c r="B964">
        <v>10059</v>
      </c>
      <c r="C964" t="s">
        <v>58</v>
      </c>
      <c r="D964" t="s">
        <v>23</v>
      </c>
      <c r="E964" t="s">
        <v>11</v>
      </c>
      <c r="F964" t="s">
        <v>12</v>
      </c>
      <c r="G964" t="s">
        <v>13</v>
      </c>
      <c r="H964">
        <v>61890.85</v>
      </c>
      <c r="I964">
        <v>1</v>
      </c>
      <c r="J964" t="str">
        <f t="shared" si="75"/>
        <v>High</v>
      </c>
      <c r="K964" t="str">
        <f t="shared" si="76"/>
        <v>High Risk</v>
      </c>
      <c r="L964">
        <f t="shared" si="77"/>
        <v>1</v>
      </c>
      <c r="M964">
        <f t="shared" si="78"/>
        <v>1</v>
      </c>
      <c r="N964" s="6">
        <f t="shared" si="79"/>
        <v>45659</v>
      </c>
    </row>
    <row r="965" spans="1:14" x14ac:dyDescent="0.3">
      <c r="A965">
        <v>36</v>
      </c>
      <c r="B965">
        <v>10079</v>
      </c>
      <c r="C965" t="s">
        <v>59</v>
      </c>
      <c r="D965" t="s">
        <v>10</v>
      </c>
      <c r="E965" t="s">
        <v>11</v>
      </c>
      <c r="F965" t="s">
        <v>12</v>
      </c>
      <c r="G965" t="s">
        <v>25</v>
      </c>
      <c r="H965">
        <v>63343.96</v>
      </c>
      <c r="I965">
        <v>1</v>
      </c>
      <c r="J965" t="str">
        <f t="shared" si="75"/>
        <v>High</v>
      </c>
      <c r="K965" t="str">
        <f t="shared" si="76"/>
        <v>High Risk</v>
      </c>
      <c r="L965">
        <f t="shared" si="77"/>
        <v>1</v>
      </c>
      <c r="M965">
        <f t="shared" si="78"/>
        <v>1</v>
      </c>
      <c r="N965" s="6">
        <f t="shared" si="79"/>
        <v>45659</v>
      </c>
    </row>
    <row r="966" spans="1:14" x14ac:dyDescent="0.3">
      <c r="A966">
        <v>37</v>
      </c>
      <c r="B966">
        <v>10014</v>
      </c>
      <c r="C966" t="s">
        <v>60</v>
      </c>
      <c r="D966" t="s">
        <v>23</v>
      </c>
      <c r="E966" t="s">
        <v>11</v>
      </c>
      <c r="F966" t="s">
        <v>17</v>
      </c>
      <c r="G966" t="s">
        <v>13</v>
      </c>
      <c r="H966">
        <v>46981.59</v>
      </c>
      <c r="I966">
        <v>0</v>
      </c>
      <c r="J966" t="str">
        <f t="shared" si="75"/>
        <v>High</v>
      </c>
      <c r="K966" t="str">
        <f t="shared" si="76"/>
        <v>Normal</v>
      </c>
      <c r="L966">
        <f t="shared" si="77"/>
        <v>1</v>
      </c>
      <c r="M966">
        <f t="shared" si="78"/>
        <v>1</v>
      </c>
      <c r="N966" s="6">
        <f t="shared" si="79"/>
        <v>45659</v>
      </c>
    </row>
    <row r="967" spans="1:14" x14ac:dyDescent="0.3">
      <c r="A967">
        <v>38</v>
      </c>
      <c r="B967">
        <v>10061</v>
      </c>
      <c r="C967" t="s">
        <v>61</v>
      </c>
      <c r="D967" t="s">
        <v>29</v>
      </c>
      <c r="E967" t="s">
        <v>11</v>
      </c>
      <c r="F967" t="s">
        <v>17</v>
      </c>
      <c r="G967" t="s">
        <v>31</v>
      </c>
      <c r="H967">
        <v>44361.63</v>
      </c>
      <c r="I967">
        <v>0</v>
      </c>
      <c r="J967" t="str">
        <f t="shared" si="75"/>
        <v>High</v>
      </c>
      <c r="K967" t="str">
        <f t="shared" si="76"/>
        <v>Normal</v>
      </c>
      <c r="L967">
        <f t="shared" si="77"/>
        <v>1</v>
      </c>
      <c r="M967">
        <f t="shared" si="78"/>
        <v>1</v>
      </c>
      <c r="N967" s="6">
        <f t="shared" si="79"/>
        <v>45659</v>
      </c>
    </row>
    <row r="968" spans="1:14" x14ac:dyDescent="0.3">
      <c r="A968">
        <v>39</v>
      </c>
      <c r="B968">
        <v>10061</v>
      </c>
      <c r="C968" t="s">
        <v>62</v>
      </c>
      <c r="D968" t="s">
        <v>20</v>
      </c>
      <c r="E968" t="s">
        <v>16</v>
      </c>
      <c r="F968" t="s">
        <v>12</v>
      </c>
      <c r="G968" t="s">
        <v>21</v>
      </c>
      <c r="H968">
        <v>49465.35</v>
      </c>
      <c r="I968">
        <v>0</v>
      </c>
      <c r="J968" t="str">
        <f t="shared" si="75"/>
        <v>High</v>
      </c>
      <c r="K968" t="str">
        <f t="shared" si="76"/>
        <v>Normal</v>
      </c>
      <c r="L968">
        <f t="shared" si="77"/>
        <v>1</v>
      </c>
      <c r="M968">
        <f t="shared" si="78"/>
        <v>1</v>
      </c>
      <c r="N968" s="6">
        <f t="shared" si="79"/>
        <v>45659</v>
      </c>
    </row>
    <row r="969" spans="1:14" x14ac:dyDescent="0.3">
      <c r="A969">
        <v>40</v>
      </c>
      <c r="B969">
        <v>10046</v>
      </c>
      <c r="C969" t="s">
        <v>63</v>
      </c>
      <c r="D969" t="s">
        <v>29</v>
      </c>
      <c r="E969" t="s">
        <v>11</v>
      </c>
      <c r="F969" t="s">
        <v>17</v>
      </c>
      <c r="G969" t="s">
        <v>31</v>
      </c>
      <c r="H969">
        <v>86118.43</v>
      </c>
      <c r="I969">
        <v>1</v>
      </c>
      <c r="J969" t="str">
        <f t="shared" si="75"/>
        <v>High</v>
      </c>
      <c r="K969" t="str">
        <f t="shared" si="76"/>
        <v>High Risk</v>
      </c>
      <c r="L969">
        <f t="shared" si="77"/>
        <v>1</v>
      </c>
      <c r="M969">
        <f t="shared" si="78"/>
        <v>1</v>
      </c>
      <c r="N969" s="6">
        <f t="shared" si="79"/>
        <v>45659</v>
      </c>
    </row>
    <row r="970" spans="1:14" x14ac:dyDescent="0.3">
      <c r="A970">
        <v>41</v>
      </c>
      <c r="B970">
        <v>10061</v>
      </c>
      <c r="C970" t="s">
        <v>64</v>
      </c>
      <c r="D970" t="s">
        <v>10</v>
      </c>
      <c r="E970" t="s">
        <v>16</v>
      </c>
      <c r="F970" t="s">
        <v>12</v>
      </c>
      <c r="G970" t="s">
        <v>21</v>
      </c>
      <c r="H970">
        <v>46170.57</v>
      </c>
      <c r="I970">
        <v>0</v>
      </c>
      <c r="J970" t="str">
        <f t="shared" si="75"/>
        <v>High</v>
      </c>
      <c r="K970" t="str">
        <f t="shared" si="76"/>
        <v>Normal</v>
      </c>
      <c r="L970">
        <f t="shared" si="77"/>
        <v>1</v>
      </c>
      <c r="M970">
        <f t="shared" si="78"/>
        <v>1</v>
      </c>
      <c r="N970" s="6">
        <f t="shared" si="79"/>
        <v>45659</v>
      </c>
    </row>
    <row r="971" spans="1:14" x14ac:dyDescent="0.3">
      <c r="A971">
        <v>42</v>
      </c>
      <c r="B971">
        <v>10050</v>
      </c>
      <c r="C971" t="s">
        <v>65</v>
      </c>
      <c r="D971" t="s">
        <v>20</v>
      </c>
      <c r="E971" t="s">
        <v>24</v>
      </c>
      <c r="F971" t="s">
        <v>12</v>
      </c>
      <c r="G971" t="s">
        <v>18</v>
      </c>
      <c r="H971">
        <v>93999.19</v>
      </c>
      <c r="I971">
        <v>0</v>
      </c>
      <c r="J971" t="str">
        <f t="shared" si="75"/>
        <v>High</v>
      </c>
      <c r="K971" t="str">
        <f t="shared" si="76"/>
        <v>Normal</v>
      </c>
      <c r="L971">
        <f t="shared" si="77"/>
        <v>1</v>
      </c>
      <c r="M971">
        <f t="shared" si="78"/>
        <v>1</v>
      </c>
      <c r="N971" s="6">
        <f t="shared" si="79"/>
        <v>45659</v>
      </c>
    </row>
    <row r="972" spans="1:14" x14ac:dyDescent="0.3">
      <c r="A972">
        <v>43</v>
      </c>
      <c r="B972">
        <v>10054</v>
      </c>
      <c r="C972" t="s">
        <v>66</v>
      </c>
      <c r="D972" t="s">
        <v>23</v>
      </c>
      <c r="E972" t="s">
        <v>11</v>
      </c>
      <c r="F972" t="s">
        <v>17</v>
      </c>
      <c r="G972" t="s">
        <v>25</v>
      </c>
      <c r="H972">
        <v>50449.98</v>
      </c>
      <c r="I972">
        <v>1</v>
      </c>
      <c r="J972" t="str">
        <f t="shared" si="75"/>
        <v>High</v>
      </c>
      <c r="K972" t="str">
        <f t="shared" si="76"/>
        <v>High Risk</v>
      </c>
      <c r="L972">
        <f t="shared" si="77"/>
        <v>1</v>
      </c>
      <c r="M972">
        <f t="shared" si="78"/>
        <v>1</v>
      </c>
      <c r="N972" s="6">
        <f t="shared" si="79"/>
        <v>45659</v>
      </c>
    </row>
    <row r="973" spans="1:14" x14ac:dyDescent="0.3">
      <c r="A973">
        <v>44</v>
      </c>
      <c r="B973">
        <v>10063</v>
      </c>
      <c r="C973" t="s">
        <v>67</v>
      </c>
      <c r="D973" t="s">
        <v>20</v>
      </c>
      <c r="E973" t="s">
        <v>24</v>
      </c>
      <c r="F973" t="s">
        <v>17</v>
      </c>
      <c r="G973" t="s">
        <v>18</v>
      </c>
      <c r="H973">
        <v>94925.15</v>
      </c>
      <c r="I973">
        <v>0</v>
      </c>
      <c r="J973" t="str">
        <f t="shared" si="75"/>
        <v>High</v>
      </c>
      <c r="K973" t="str">
        <f t="shared" si="76"/>
        <v>Normal</v>
      </c>
      <c r="L973">
        <f t="shared" si="77"/>
        <v>1</v>
      </c>
      <c r="M973">
        <f t="shared" si="78"/>
        <v>1</v>
      </c>
      <c r="N973" s="6">
        <f t="shared" si="79"/>
        <v>45659</v>
      </c>
    </row>
    <row r="974" spans="1:14" x14ac:dyDescent="0.3">
      <c r="A974">
        <v>45</v>
      </c>
      <c r="B974">
        <v>10002</v>
      </c>
      <c r="C974" t="s">
        <v>68</v>
      </c>
      <c r="D974" t="s">
        <v>15</v>
      </c>
      <c r="E974" t="s">
        <v>24</v>
      </c>
      <c r="F974" t="s">
        <v>12</v>
      </c>
      <c r="G974" t="s">
        <v>18</v>
      </c>
      <c r="H974">
        <v>83299.91</v>
      </c>
      <c r="I974">
        <v>0</v>
      </c>
      <c r="J974" t="str">
        <f t="shared" si="75"/>
        <v>High</v>
      </c>
      <c r="K974" t="str">
        <f t="shared" si="76"/>
        <v>Normal</v>
      </c>
      <c r="L974">
        <f t="shared" si="77"/>
        <v>1</v>
      </c>
      <c r="M974">
        <f t="shared" si="78"/>
        <v>1</v>
      </c>
      <c r="N974" s="6">
        <f t="shared" si="79"/>
        <v>45659</v>
      </c>
    </row>
    <row r="975" spans="1:14" x14ac:dyDescent="0.3">
      <c r="A975">
        <v>46</v>
      </c>
      <c r="B975">
        <v>10050</v>
      </c>
      <c r="C975" t="s">
        <v>69</v>
      </c>
      <c r="D975" t="s">
        <v>20</v>
      </c>
      <c r="E975" t="s">
        <v>24</v>
      </c>
      <c r="F975" t="s">
        <v>12</v>
      </c>
      <c r="G975" t="s">
        <v>31</v>
      </c>
      <c r="H975">
        <v>36306.89</v>
      </c>
      <c r="I975">
        <v>0</v>
      </c>
      <c r="J975" t="str">
        <f t="shared" si="75"/>
        <v>High</v>
      </c>
      <c r="K975" t="str">
        <f t="shared" si="76"/>
        <v>Normal</v>
      </c>
      <c r="L975">
        <f t="shared" si="77"/>
        <v>1</v>
      </c>
      <c r="M975">
        <f t="shared" si="78"/>
        <v>1</v>
      </c>
      <c r="N975" s="6">
        <f t="shared" si="79"/>
        <v>45659</v>
      </c>
    </row>
    <row r="976" spans="1:14" x14ac:dyDescent="0.3">
      <c r="A976">
        <v>47</v>
      </c>
      <c r="B976">
        <v>10006</v>
      </c>
      <c r="C976" t="s">
        <v>70</v>
      </c>
      <c r="D976" t="s">
        <v>15</v>
      </c>
      <c r="E976" t="s">
        <v>16</v>
      </c>
      <c r="F976" t="s">
        <v>12</v>
      </c>
      <c r="G976" t="s">
        <v>25</v>
      </c>
      <c r="H976">
        <v>86377.78</v>
      </c>
      <c r="I976">
        <v>0</v>
      </c>
      <c r="J976" t="str">
        <f t="shared" si="75"/>
        <v>High</v>
      </c>
      <c r="K976" t="str">
        <f t="shared" si="76"/>
        <v>Normal</v>
      </c>
      <c r="L976">
        <f t="shared" si="77"/>
        <v>1</v>
      </c>
      <c r="M976">
        <f t="shared" si="78"/>
        <v>1</v>
      </c>
      <c r="N976" s="6">
        <f t="shared" si="79"/>
        <v>45659</v>
      </c>
    </row>
    <row r="977" spans="1:14" x14ac:dyDescent="0.3">
      <c r="A977">
        <v>48</v>
      </c>
      <c r="B977">
        <v>10020</v>
      </c>
      <c r="C977" t="s">
        <v>71</v>
      </c>
      <c r="D977" t="s">
        <v>20</v>
      </c>
      <c r="E977" t="s">
        <v>24</v>
      </c>
      <c r="F977" t="s">
        <v>17</v>
      </c>
      <c r="G977" t="s">
        <v>21</v>
      </c>
      <c r="H977">
        <v>11095.32</v>
      </c>
      <c r="I977">
        <v>0</v>
      </c>
      <c r="J977" t="str">
        <f t="shared" si="75"/>
        <v>High</v>
      </c>
      <c r="K977" t="str">
        <f t="shared" si="76"/>
        <v>Normal</v>
      </c>
      <c r="L977">
        <f t="shared" si="77"/>
        <v>1</v>
      </c>
      <c r="M977">
        <f t="shared" si="78"/>
        <v>1</v>
      </c>
      <c r="N977" s="6">
        <f t="shared" si="79"/>
        <v>45659</v>
      </c>
    </row>
    <row r="978" spans="1:14" x14ac:dyDescent="0.3">
      <c r="A978">
        <v>1</v>
      </c>
      <c r="B978">
        <v>10051</v>
      </c>
      <c r="C978" t="s">
        <v>9</v>
      </c>
      <c r="D978" t="s">
        <v>10</v>
      </c>
      <c r="E978" t="s">
        <v>11</v>
      </c>
      <c r="F978" t="s">
        <v>12</v>
      </c>
      <c r="G978" t="s">
        <v>13</v>
      </c>
      <c r="H978">
        <v>671.29</v>
      </c>
      <c r="I978">
        <v>0</v>
      </c>
      <c r="J978" t="str">
        <f t="shared" si="75"/>
        <v>High</v>
      </c>
      <c r="K978" t="str">
        <f t="shared" si="76"/>
        <v>Normal</v>
      </c>
      <c r="L978">
        <f t="shared" si="77"/>
        <v>1</v>
      </c>
      <c r="M978">
        <f t="shared" si="78"/>
        <v>1</v>
      </c>
      <c r="N978" s="6">
        <f t="shared" si="79"/>
        <v>45658</v>
      </c>
    </row>
    <row r="979" spans="1:14" x14ac:dyDescent="0.3">
      <c r="A979">
        <v>2</v>
      </c>
      <c r="B979">
        <v>10092</v>
      </c>
      <c r="C979" t="s">
        <v>14</v>
      </c>
      <c r="D979" t="s">
        <v>15</v>
      </c>
      <c r="E979" t="s">
        <v>16</v>
      </c>
      <c r="F979" t="s">
        <v>17</v>
      </c>
      <c r="G979" t="s">
        <v>18</v>
      </c>
      <c r="H979">
        <v>46635.99</v>
      </c>
      <c r="I979">
        <v>0</v>
      </c>
      <c r="J979" t="str">
        <f t="shared" si="75"/>
        <v>High</v>
      </c>
      <c r="K979" t="str">
        <f t="shared" si="76"/>
        <v>Normal</v>
      </c>
      <c r="L979">
        <f t="shared" si="77"/>
        <v>1</v>
      </c>
      <c r="M979">
        <f t="shared" si="78"/>
        <v>1</v>
      </c>
      <c r="N979" s="6">
        <f t="shared" si="79"/>
        <v>45658</v>
      </c>
    </row>
    <row r="980" spans="1:14" x14ac:dyDescent="0.3">
      <c r="A980">
        <v>3</v>
      </c>
      <c r="B980">
        <v>10014</v>
      </c>
      <c r="C980" t="s">
        <v>19</v>
      </c>
      <c r="D980" t="s">
        <v>20</v>
      </c>
      <c r="E980" t="s">
        <v>16</v>
      </c>
      <c r="F980" t="s">
        <v>12</v>
      </c>
      <c r="G980" t="s">
        <v>21</v>
      </c>
      <c r="H980">
        <v>57159.11</v>
      </c>
      <c r="I980">
        <v>0</v>
      </c>
      <c r="J980" t="str">
        <f t="shared" si="75"/>
        <v>High</v>
      </c>
      <c r="K980" t="str">
        <f t="shared" si="76"/>
        <v>Normal</v>
      </c>
      <c r="L980">
        <f t="shared" si="77"/>
        <v>1</v>
      </c>
      <c r="M980">
        <f t="shared" si="78"/>
        <v>1</v>
      </c>
      <c r="N980" s="6">
        <f t="shared" si="79"/>
        <v>45658</v>
      </c>
    </row>
    <row r="981" spans="1:14" x14ac:dyDescent="0.3">
      <c r="A981">
        <v>4</v>
      </c>
      <c r="B981">
        <v>10071</v>
      </c>
      <c r="C981" t="s">
        <v>22</v>
      </c>
      <c r="D981" t="s">
        <v>23</v>
      </c>
      <c r="E981" t="s">
        <v>24</v>
      </c>
      <c r="F981" t="s">
        <v>12</v>
      </c>
      <c r="G981" t="s">
        <v>25</v>
      </c>
      <c r="H981">
        <v>30472.62</v>
      </c>
      <c r="I981">
        <v>0</v>
      </c>
      <c r="J981" t="str">
        <f t="shared" si="75"/>
        <v>High</v>
      </c>
      <c r="K981" t="str">
        <f t="shared" si="76"/>
        <v>Normal</v>
      </c>
      <c r="L981">
        <f t="shared" si="77"/>
        <v>1</v>
      </c>
      <c r="M981">
        <f t="shared" si="78"/>
        <v>1</v>
      </c>
      <c r="N981" s="6">
        <f t="shared" si="79"/>
        <v>45658</v>
      </c>
    </row>
    <row r="982" spans="1:14" x14ac:dyDescent="0.3">
      <c r="A982">
        <v>5</v>
      </c>
      <c r="B982">
        <v>10060</v>
      </c>
      <c r="C982" t="s">
        <v>26</v>
      </c>
      <c r="D982" t="s">
        <v>10</v>
      </c>
      <c r="E982" t="s">
        <v>16</v>
      </c>
      <c r="F982" t="s">
        <v>12</v>
      </c>
      <c r="G982" t="s">
        <v>25</v>
      </c>
      <c r="H982">
        <v>31878.63</v>
      </c>
      <c r="I982">
        <v>0</v>
      </c>
      <c r="J982" t="str">
        <f t="shared" si="75"/>
        <v>High</v>
      </c>
      <c r="K982" t="str">
        <f t="shared" si="76"/>
        <v>Normal</v>
      </c>
      <c r="L982">
        <f t="shared" si="77"/>
        <v>1</v>
      </c>
      <c r="M982">
        <f t="shared" si="78"/>
        <v>1</v>
      </c>
      <c r="N982" s="6">
        <f t="shared" si="79"/>
        <v>45658</v>
      </c>
    </row>
    <row r="983" spans="1:14" x14ac:dyDescent="0.3">
      <c r="A983">
        <v>6</v>
      </c>
      <c r="B983">
        <v>10020</v>
      </c>
      <c r="C983" t="s">
        <v>27</v>
      </c>
      <c r="D983" t="s">
        <v>15</v>
      </c>
      <c r="E983" t="s">
        <v>24</v>
      </c>
      <c r="F983" t="s">
        <v>12</v>
      </c>
      <c r="G983" t="s">
        <v>18</v>
      </c>
      <c r="H983">
        <v>96119.83</v>
      </c>
      <c r="I983">
        <v>0</v>
      </c>
      <c r="J983" t="str">
        <f t="shared" si="75"/>
        <v>High</v>
      </c>
      <c r="K983" t="str">
        <f t="shared" si="76"/>
        <v>Normal</v>
      </c>
      <c r="L983">
        <f t="shared" si="77"/>
        <v>1</v>
      </c>
      <c r="M983">
        <f t="shared" si="78"/>
        <v>1</v>
      </c>
      <c r="N983" s="6">
        <f t="shared" si="79"/>
        <v>45658</v>
      </c>
    </row>
    <row r="984" spans="1:14" x14ac:dyDescent="0.3">
      <c r="A984">
        <v>7</v>
      </c>
      <c r="B984">
        <v>10082</v>
      </c>
      <c r="C984" t="s">
        <v>28</v>
      </c>
      <c r="D984" t="s">
        <v>29</v>
      </c>
      <c r="E984" t="s">
        <v>24</v>
      </c>
      <c r="F984" t="s">
        <v>12</v>
      </c>
      <c r="G984" t="s">
        <v>21</v>
      </c>
      <c r="H984">
        <v>89181.92</v>
      </c>
      <c r="I984">
        <v>0</v>
      </c>
      <c r="J984" t="str">
        <f t="shared" si="75"/>
        <v>High</v>
      </c>
      <c r="K984" t="str">
        <f t="shared" si="76"/>
        <v>Normal</v>
      </c>
      <c r="L984">
        <f t="shared" si="77"/>
        <v>1</v>
      </c>
      <c r="M984">
        <f t="shared" si="78"/>
        <v>1</v>
      </c>
      <c r="N984" s="6">
        <f t="shared" si="79"/>
        <v>45658</v>
      </c>
    </row>
    <row r="985" spans="1:14" x14ac:dyDescent="0.3">
      <c r="A985">
        <v>8</v>
      </c>
      <c r="B985">
        <v>10086</v>
      </c>
      <c r="C985" t="s">
        <v>30</v>
      </c>
      <c r="D985" t="s">
        <v>20</v>
      </c>
      <c r="E985" t="s">
        <v>24</v>
      </c>
      <c r="F985" t="s">
        <v>17</v>
      </c>
      <c r="G985" t="s">
        <v>31</v>
      </c>
      <c r="H985">
        <v>84932.98</v>
      </c>
      <c r="I985">
        <v>0</v>
      </c>
      <c r="J985" t="str">
        <f t="shared" si="75"/>
        <v>High</v>
      </c>
      <c r="K985" t="str">
        <f t="shared" si="76"/>
        <v>Normal</v>
      </c>
      <c r="L985">
        <f t="shared" si="77"/>
        <v>1</v>
      </c>
      <c r="M985">
        <f t="shared" si="78"/>
        <v>1</v>
      </c>
      <c r="N985" s="6">
        <f t="shared" si="79"/>
        <v>45658</v>
      </c>
    </row>
    <row r="986" spans="1:14" x14ac:dyDescent="0.3">
      <c r="A986">
        <v>9</v>
      </c>
      <c r="B986">
        <v>10074</v>
      </c>
      <c r="C986" t="s">
        <v>32</v>
      </c>
      <c r="D986" t="s">
        <v>10</v>
      </c>
      <c r="E986" t="s">
        <v>24</v>
      </c>
      <c r="F986" t="s">
        <v>17</v>
      </c>
      <c r="G986" t="s">
        <v>13</v>
      </c>
      <c r="H986">
        <v>40660.58</v>
      </c>
      <c r="I986">
        <v>0</v>
      </c>
      <c r="J986" t="str">
        <f t="shared" si="75"/>
        <v>High</v>
      </c>
      <c r="K986" t="str">
        <f t="shared" si="76"/>
        <v>Normal</v>
      </c>
      <c r="L986">
        <f t="shared" si="77"/>
        <v>1</v>
      </c>
      <c r="M986">
        <f t="shared" si="78"/>
        <v>1</v>
      </c>
      <c r="N986" s="6">
        <f t="shared" si="79"/>
        <v>45658</v>
      </c>
    </row>
    <row r="987" spans="1:14" x14ac:dyDescent="0.3">
      <c r="A987">
        <v>10</v>
      </c>
      <c r="B987">
        <v>10074</v>
      </c>
      <c r="C987" t="s">
        <v>33</v>
      </c>
      <c r="D987" t="s">
        <v>10</v>
      </c>
      <c r="E987" t="s">
        <v>11</v>
      </c>
      <c r="F987" t="s">
        <v>17</v>
      </c>
      <c r="G987" t="s">
        <v>21</v>
      </c>
      <c r="H987">
        <v>1468.49</v>
      </c>
      <c r="I987">
        <v>0</v>
      </c>
      <c r="J987" t="str">
        <f t="shared" si="75"/>
        <v>High</v>
      </c>
      <c r="K987" t="str">
        <f t="shared" si="76"/>
        <v>Normal</v>
      </c>
      <c r="L987">
        <f t="shared" si="77"/>
        <v>1</v>
      </c>
      <c r="M987">
        <f t="shared" si="78"/>
        <v>1</v>
      </c>
      <c r="N987" s="6">
        <f t="shared" si="79"/>
        <v>45658</v>
      </c>
    </row>
    <row r="988" spans="1:14" x14ac:dyDescent="0.3">
      <c r="A988">
        <v>11</v>
      </c>
      <c r="B988">
        <v>10087</v>
      </c>
      <c r="C988" t="s">
        <v>34</v>
      </c>
      <c r="D988" t="s">
        <v>23</v>
      </c>
      <c r="E988" t="s">
        <v>24</v>
      </c>
      <c r="F988" t="s">
        <v>12</v>
      </c>
      <c r="G988" t="s">
        <v>25</v>
      </c>
      <c r="H988">
        <v>8114.2</v>
      </c>
      <c r="I988">
        <v>0</v>
      </c>
      <c r="J988" t="str">
        <f t="shared" si="75"/>
        <v>High</v>
      </c>
      <c r="K988" t="str">
        <f t="shared" si="76"/>
        <v>Normal</v>
      </c>
      <c r="L988">
        <f t="shared" si="77"/>
        <v>1</v>
      </c>
      <c r="M988">
        <f t="shared" si="78"/>
        <v>1</v>
      </c>
      <c r="N988" s="6">
        <f t="shared" si="79"/>
        <v>45658</v>
      </c>
    </row>
    <row r="989" spans="1:14" x14ac:dyDescent="0.3">
      <c r="A989">
        <v>12</v>
      </c>
      <c r="B989">
        <v>10099</v>
      </c>
      <c r="C989" t="s">
        <v>35</v>
      </c>
      <c r="D989" t="s">
        <v>23</v>
      </c>
      <c r="E989" t="s">
        <v>16</v>
      </c>
      <c r="F989" t="s">
        <v>17</v>
      </c>
      <c r="G989" t="s">
        <v>18</v>
      </c>
      <c r="H989">
        <v>31288.42</v>
      </c>
      <c r="I989">
        <v>0</v>
      </c>
      <c r="J989" t="str">
        <f t="shared" si="75"/>
        <v>High</v>
      </c>
      <c r="K989" t="str">
        <f t="shared" si="76"/>
        <v>Normal</v>
      </c>
      <c r="L989">
        <f t="shared" si="77"/>
        <v>1</v>
      </c>
      <c r="M989">
        <f t="shared" si="78"/>
        <v>1</v>
      </c>
      <c r="N989" s="6">
        <f t="shared" si="79"/>
        <v>45658</v>
      </c>
    </row>
    <row r="990" spans="1:14" x14ac:dyDescent="0.3">
      <c r="A990">
        <v>13</v>
      </c>
      <c r="B990">
        <v>10023</v>
      </c>
      <c r="C990" t="s">
        <v>36</v>
      </c>
      <c r="D990" t="s">
        <v>29</v>
      </c>
      <c r="E990" t="s">
        <v>11</v>
      </c>
      <c r="F990" t="s">
        <v>17</v>
      </c>
      <c r="G990" t="s">
        <v>18</v>
      </c>
      <c r="H990">
        <v>1672.72</v>
      </c>
      <c r="I990">
        <v>0</v>
      </c>
      <c r="J990" t="str">
        <f t="shared" si="75"/>
        <v>High</v>
      </c>
      <c r="K990" t="str">
        <f t="shared" si="76"/>
        <v>Normal</v>
      </c>
      <c r="L990">
        <f t="shared" si="77"/>
        <v>1</v>
      </c>
      <c r="M990">
        <f t="shared" si="78"/>
        <v>1</v>
      </c>
      <c r="N990" s="6">
        <f t="shared" si="79"/>
        <v>45658</v>
      </c>
    </row>
    <row r="991" spans="1:14" x14ac:dyDescent="0.3">
      <c r="A991">
        <v>14</v>
      </c>
      <c r="B991">
        <v>10002</v>
      </c>
      <c r="C991" t="s">
        <v>37</v>
      </c>
      <c r="D991" t="s">
        <v>29</v>
      </c>
      <c r="E991" t="s">
        <v>16</v>
      </c>
      <c r="F991" t="s">
        <v>17</v>
      </c>
      <c r="G991" t="s">
        <v>13</v>
      </c>
      <c r="H991">
        <v>1813.26</v>
      </c>
      <c r="I991">
        <v>0</v>
      </c>
      <c r="J991" t="str">
        <f t="shared" si="75"/>
        <v>High</v>
      </c>
      <c r="K991" t="str">
        <f t="shared" si="76"/>
        <v>Normal</v>
      </c>
      <c r="L991">
        <f t="shared" si="77"/>
        <v>1</v>
      </c>
      <c r="M991">
        <f t="shared" si="78"/>
        <v>1</v>
      </c>
      <c r="N991" s="6">
        <f t="shared" si="79"/>
        <v>45658</v>
      </c>
    </row>
    <row r="992" spans="1:14" x14ac:dyDescent="0.3">
      <c r="A992">
        <v>15</v>
      </c>
      <c r="B992">
        <v>10021</v>
      </c>
      <c r="C992" t="s">
        <v>38</v>
      </c>
      <c r="D992" t="s">
        <v>15</v>
      </c>
      <c r="E992" t="s">
        <v>11</v>
      </c>
      <c r="F992" t="s">
        <v>17</v>
      </c>
      <c r="G992" t="s">
        <v>18</v>
      </c>
      <c r="H992">
        <v>91668.67</v>
      </c>
      <c r="I992">
        <v>1</v>
      </c>
      <c r="J992" t="str">
        <f t="shared" si="75"/>
        <v>High</v>
      </c>
      <c r="K992" t="str">
        <f t="shared" si="76"/>
        <v>High Risk</v>
      </c>
      <c r="L992">
        <f t="shared" si="77"/>
        <v>1</v>
      </c>
      <c r="M992">
        <f t="shared" si="78"/>
        <v>1</v>
      </c>
      <c r="N992" s="6">
        <f t="shared" si="79"/>
        <v>45658</v>
      </c>
    </row>
    <row r="993" spans="1:14" x14ac:dyDescent="0.3">
      <c r="A993">
        <v>16</v>
      </c>
      <c r="B993">
        <v>10052</v>
      </c>
      <c r="C993" t="s">
        <v>39</v>
      </c>
      <c r="D993" t="s">
        <v>15</v>
      </c>
      <c r="E993" t="s">
        <v>24</v>
      </c>
      <c r="F993" t="s">
        <v>17</v>
      </c>
      <c r="G993" t="s">
        <v>18</v>
      </c>
      <c r="H993">
        <v>70645.23</v>
      </c>
      <c r="I993">
        <v>0</v>
      </c>
      <c r="J993" t="str">
        <f t="shared" si="75"/>
        <v>High</v>
      </c>
      <c r="K993" t="str">
        <f t="shared" si="76"/>
        <v>Normal</v>
      </c>
      <c r="L993">
        <f t="shared" si="77"/>
        <v>1</v>
      </c>
      <c r="M993">
        <f t="shared" si="78"/>
        <v>1</v>
      </c>
      <c r="N993" s="6">
        <f t="shared" si="79"/>
        <v>45658</v>
      </c>
    </row>
    <row r="994" spans="1:14" x14ac:dyDescent="0.3">
      <c r="A994">
        <v>17</v>
      </c>
      <c r="B994">
        <v>10001</v>
      </c>
      <c r="C994" t="s">
        <v>40</v>
      </c>
      <c r="D994" t="s">
        <v>29</v>
      </c>
      <c r="E994" t="s">
        <v>11</v>
      </c>
      <c r="F994" t="s">
        <v>12</v>
      </c>
      <c r="G994" t="s">
        <v>21</v>
      </c>
      <c r="H994">
        <v>30964.7</v>
      </c>
      <c r="I994">
        <v>0</v>
      </c>
      <c r="J994" t="str">
        <f t="shared" si="75"/>
        <v>High</v>
      </c>
      <c r="K994" t="str">
        <f t="shared" si="76"/>
        <v>Normal</v>
      </c>
      <c r="L994">
        <f t="shared" si="77"/>
        <v>1</v>
      </c>
      <c r="M994">
        <f t="shared" si="78"/>
        <v>1</v>
      </c>
      <c r="N994" s="6">
        <f t="shared" si="79"/>
        <v>45658</v>
      </c>
    </row>
    <row r="995" spans="1:14" x14ac:dyDescent="0.3">
      <c r="A995">
        <v>18</v>
      </c>
      <c r="B995">
        <v>10087</v>
      </c>
      <c r="C995" t="s">
        <v>41</v>
      </c>
      <c r="D995" t="s">
        <v>29</v>
      </c>
      <c r="E995" t="s">
        <v>11</v>
      </c>
      <c r="F995" t="s">
        <v>17</v>
      </c>
      <c r="G995" t="s">
        <v>31</v>
      </c>
      <c r="H995">
        <v>13351.19</v>
      </c>
      <c r="I995">
        <v>0</v>
      </c>
      <c r="J995" t="str">
        <f t="shared" si="75"/>
        <v>High</v>
      </c>
      <c r="K995" t="str">
        <f t="shared" si="76"/>
        <v>Normal</v>
      </c>
      <c r="L995">
        <f t="shared" si="77"/>
        <v>1</v>
      </c>
      <c r="M995">
        <f t="shared" si="78"/>
        <v>1</v>
      </c>
      <c r="N995" s="6">
        <f t="shared" si="79"/>
        <v>45658</v>
      </c>
    </row>
    <row r="996" spans="1:14" x14ac:dyDescent="0.3">
      <c r="A996">
        <v>19</v>
      </c>
      <c r="B996">
        <v>10029</v>
      </c>
      <c r="C996" t="s">
        <v>42</v>
      </c>
      <c r="D996" t="s">
        <v>20</v>
      </c>
      <c r="E996" t="s">
        <v>16</v>
      </c>
      <c r="F996" t="s">
        <v>12</v>
      </c>
      <c r="G996" t="s">
        <v>13</v>
      </c>
      <c r="H996">
        <v>51212.41</v>
      </c>
      <c r="I996">
        <v>0</v>
      </c>
      <c r="J996" t="str">
        <f t="shared" si="75"/>
        <v>High</v>
      </c>
      <c r="K996" t="str">
        <f t="shared" si="76"/>
        <v>Normal</v>
      </c>
      <c r="L996">
        <f t="shared" si="77"/>
        <v>1</v>
      </c>
      <c r="M996">
        <f t="shared" si="78"/>
        <v>1</v>
      </c>
      <c r="N996" s="6">
        <f t="shared" si="79"/>
        <v>45658</v>
      </c>
    </row>
    <row r="997" spans="1:14" x14ac:dyDescent="0.3">
      <c r="A997">
        <v>20</v>
      </c>
      <c r="B997">
        <v>10037</v>
      </c>
      <c r="C997" t="s">
        <v>43</v>
      </c>
      <c r="D997" t="s">
        <v>23</v>
      </c>
      <c r="E997" t="s">
        <v>16</v>
      </c>
      <c r="F997" t="s">
        <v>12</v>
      </c>
      <c r="G997" t="s">
        <v>21</v>
      </c>
      <c r="H997">
        <v>634.08000000000004</v>
      </c>
      <c r="I997">
        <v>0</v>
      </c>
      <c r="J997" t="str">
        <f t="shared" si="75"/>
        <v>High</v>
      </c>
      <c r="K997" t="str">
        <f t="shared" si="76"/>
        <v>Normal</v>
      </c>
      <c r="L997">
        <f t="shared" si="77"/>
        <v>1</v>
      </c>
      <c r="M997">
        <f t="shared" si="78"/>
        <v>1</v>
      </c>
      <c r="N997" s="6">
        <f t="shared" si="79"/>
        <v>45658</v>
      </c>
    </row>
    <row r="998" spans="1:14" x14ac:dyDescent="0.3">
      <c r="A998">
        <v>21</v>
      </c>
      <c r="B998">
        <v>10001</v>
      </c>
      <c r="C998" t="s">
        <v>44</v>
      </c>
      <c r="D998" t="s">
        <v>15</v>
      </c>
      <c r="E998" t="s">
        <v>24</v>
      </c>
      <c r="F998" t="s">
        <v>12</v>
      </c>
      <c r="G998" t="s">
        <v>31</v>
      </c>
      <c r="H998">
        <v>93847.53</v>
      </c>
      <c r="I998">
        <v>0</v>
      </c>
      <c r="J998" t="str">
        <f t="shared" si="75"/>
        <v>High</v>
      </c>
      <c r="K998" t="str">
        <f t="shared" si="76"/>
        <v>Normal</v>
      </c>
      <c r="L998">
        <f t="shared" si="77"/>
        <v>1</v>
      </c>
      <c r="M998">
        <f t="shared" si="78"/>
        <v>1</v>
      </c>
      <c r="N998" s="6">
        <f t="shared" si="79"/>
        <v>45658</v>
      </c>
    </row>
    <row r="999" spans="1:14" x14ac:dyDescent="0.3">
      <c r="A999">
        <v>22</v>
      </c>
      <c r="B999">
        <v>10063</v>
      </c>
      <c r="C999" t="s">
        <v>45</v>
      </c>
      <c r="D999" t="s">
        <v>23</v>
      </c>
      <c r="E999" t="s">
        <v>11</v>
      </c>
      <c r="F999" t="s">
        <v>12</v>
      </c>
      <c r="G999" t="s">
        <v>21</v>
      </c>
      <c r="H999">
        <v>41540.03</v>
      </c>
      <c r="I999">
        <v>0</v>
      </c>
      <c r="J999" t="str">
        <f t="shared" si="75"/>
        <v>High</v>
      </c>
      <c r="K999" t="str">
        <f t="shared" si="76"/>
        <v>Normal</v>
      </c>
      <c r="L999">
        <f t="shared" si="77"/>
        <v>1</v>
      </c>
      <c r="M999">
        <f t="shared" si="78"/>
        <v>1</v>
      </c>
      <c r="N999" s="6">
        <f t="shared" si="79"/>
        <v>45658</v>
      </c>
    </row>
    <row r="1000" spans="1:14" x14ac:dyDescent="0.3">
      <c r="A1000">
        <v>23</v>
      </c>
      <c r="B1000">
        <v>10059</v>
      </c>
      <c r="C1000" t="s">
        <v>46</v>
      </c>
      <c r="D1000" t="s">
        <v>23</v>
      </c>
      <c r="E1000" t="s">
        <v>11</v>
      </c>
      <c r="F1000" t="s">
        <v>12</v>
      </c>
      <c r="G1000" t="s">
        <v>21</v>
      </c>
      <c r="H1000">
        <v>40293.26</v>
      </c>
      <c r="I1000">
        <v>0</v>
      </c>
      <c r="J1000" t="str">
        <f t="shared" si="75"/>
        <v>High</v>
      </c>
      <c r="K1000" t="str">
        <f t="shared" si="76"/>
        <v>Normal</v>
      </c>
      <c r="L1000">
        <f t="shared" si="77"/>
        <v>1</v>
      </c>
      <c r="M1000">
        <f t="shared" si="78"/>
        <v>1</v>
      </c>
      <c r="N1000" s="6">
        <f t="shared" si="79"/>
        <v>45658</v>
      </c>
    </row>
    <row r="1001" spans="1:14" x14ac:dyDescent="0.3">
      <c r="A1001">
        <v>24</v>
      </c>
      <c r="B1001">
        <v>10020</v>
      </c>
      <c r="C1001" t="s">
        <v>47</v>
      </c>
      <c r="D1001" t="s">
        <v>29</v>
      </c>
      <c r="E1001" t="s">
        <v>11</v>
      </c>
      <c r="F1001" t="s">
        <v>17</v>
      </c>
      <c r="G1001" t="s">
        <v>18</v>
      </c>
      <c r="H1001">
        <v>39120.300000000003</v>
      </c>
      <c r="I1001">
        <v>0</v>
      </c>
      <c r="J1001" t="str">
        <f t="shared" si="75"/>
        <v>High</v>
      </c>
      <c r="K1001" t="str">
        <f t="shared" si="76"/>
        <v>Normal</v>
      </c>
      <c r="L1001">
        <f t="shared" si="77"/>
        <v>1</v>
      </c>
      <c r="M1001">
        <f t="shared" si="78"/>
        <v>1</v>
      </c>
      <c r="N1001" s="6">
        <f t="shared" si="79"/>
        <v>45658</v>
      </c>
    </row>
  </sheetData>
  <conditionalFormatting sqref="H1">
    <cfRule type="cellIs" dxfId="0" priority="3" operator="greaterThan">
      <formula>$H$1</formula>
    </cfRule>
    <cfRule type="dataBar" priority="4">
      <dataBar>
        <cfvo type="min"/>
        <cfvo type="max"/>
        <color rgb="FF63C384"/>
      </dataBar>
      <extLst>
        <ext xmlns:x14="http://schemas.microsoft.com/office/spreadsheetml/2009/9/main" uri="{B025F937-C7B1-47D3-B67F-A62EFF666E3E}">
          <x14:id>{1FBF580A-0709-4454-A7A9-1276B91A2CD9}</x14:id>
        </ext>
      </extLst>
    </cfRule>
  </conditionalFormatting>
  <conditionalFormatting sqref="H1:H1001">
    <cfRule type="colorScale" priority="2">
      <colorScale>
        <cfvo type="min"/>
        <cfvo type="percentile" val="50"/>
        <cfvo type="max"/>
        <color rgb="FF63BE7B"/>
        <color rgb="FFFFEB84"/>
        <color rgb="FFF8696B"/>
      </colorScale>
    </cfRule>
  </conditionalFormatting>
  <conditionalFormatting sqref="I1:I1001">
    <cfRule type="dataBar" priority="1">
      <dataBar>
        <cfvo type="min"/>
        <cfvo type="max"/>
        <color rgb="FFD6007B"/>
      </dataBar>
      <extLst>
        <ext xmlns:x14="http://schemas.microsoft.com/office/spreadsheetml/2009/9/main" uri="{B025F937-C7B1-47D3-B67F-A62EFF666E3E}">
          <x14:id>{5DF58B18-E5B1-4A6B-BE43-29D80F761DEE}</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FBF580A-0709-4454-A7A9-1276B91A2CD9}">
            <x14:dataBar minLength="0" maxLength="100" border="1" negativeBarBorderColorSameAsPositive="0">
              <x14:cfvo type="autoMin"/>
              <x14:cfvo type="autoMax"/>
              <x14:borderColor rgb="FF63C384"/>
              <x14:negativeFillColor rgb="FFFF0000"/>
              <x14:negativeBorderColor rgb="FFFF0000"/>
              <x14:axisColor rgb="FF000000"/>
            </x14:dataBar>
          </x14:cfRule>
          <xm:sqref>H1</xm:sqref>
        </x14:conditionalFormatting>
        <x14:conditionalFormatting xmlns:xm="http://schemas.microsoft.com/office/excel/2006/main">
          <x14:cfRule type="dataBar" id="{5DF58B18-E5B1-4A6B-BE43-29D80F761DEE}">
            <x14:dataBar minLength="0" maxLength="100" gradient="0">
              <x14:cfvo type="autoMin"/>
              <x14:cfvo type="autoMax"/>
              <x14:negativeFillColor rgb="FFFF0000"/>
              <x14:axisColor rgb="FF000000"/>
            </x14:dataBar>
          </x14:cfRule>
          <xm:sqref>I1:I1001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B013-57A3-482D-A2EB-34FB0B940BCE}">
  <dimension ref="A2:I33"/>
  <sheetViews>
    <sheetView topLeftCell="A4" workbookViewId="0">
      <selection activeCell="H12" sqref="H12"/>
    </sheetView>
  </sheetViews>
  <sheetFormatPr defaultRowHeight="14.4" x14ac:dyDescent="0.3"/>
  <cols>
    <col min="1" max="1" width="21.6640625" bestFit="1" customWidth="1"/>
    <col min="2" max="2" width="15.5546875" bestFit="1" customWidth="1"/>
    <col min="3" max="3" width="4" bestFit="1" customWidth="1"/>
    <col min="4" max="4" width="10.77734375" bestFit="1" customWidth="1"/>
    <col min="5" max="5" width="12.5546875" bestFit="1" customWidth="1"/>
    <col min="6" max="6" width="21.6640625" bestFit="1" customWidth="1"/>
    <col min="7" max="7" width="14.6640625" bestFit="1" customWidth="1"/>
    <col min="8" max="8" width="21.6640625" bestFit="1" customWidth="1"/>
    <col min="9" max="9" width="15.77734375" bestFit="1" customWidth="1"/>
  </cols>
  <sheetData>
    <row r="2" spans="1:9" x14ac:dyDescent="0.3">
      <c r="A2" s="3" t="s">
        <v>1028</v>
      </c>
      <c r="B2" t="s">
        <v>1035</v>
      </c>
      <c r="E2" s="3" t="s">
        <v>1028</v>
      </c>
      <c r="F2" t="s">
        <v>1030</v>
      </c>
    </row>
    <row r="3" spans="1:9" x14ac:dyDescent="0.3">
      <c r="A3" s="4">
        <v>0</v>
      </c>
      <c r="B3">
        <v>836</v>
      </c>
      <c r="E3" s="4" t="s">
        <v>17</v>
      </c>
      <c r="F3">
        <v>82</v>
      </c>
    </row>
    <row r="4" spans="1:9" x14ac:dyDescent="0.3">
      <c r="A4" s="4">
        <v>1</v>
      </c>
      <c r="B4">
        <v>164</v>
      </c>
      <c r="E4" s="4" t="s">
        <v>12</v>
      </c>
      <c r="F4">
        <v>82</v>
      </c>
    </row>
    <row r="5" spans="1:9" x14ac:dyDescent="0.3">
      <c r="A5" s="4" t="s">
        <v>1029</v>
      </c>
      <c r="B5">
        <v>1000</v>
      </c>
      <c r="E5" s="4" t="s">
        <v>1029</v>
      </c>
      <c r="F5">
        <v>164</v>
      </c>
      <c r="H5" t="s">
        <v>1035</v>
      </c>
    </row>
    <row r="6" spans="1:9" x14ac:dyDescent="0.3">
      <c r="H6">
        <v>1000</v>
      </c>
    </row>
    <row r="7" spans="1:9" x14ac:dyDescent="0.3">
      <c r="A7" s="3" t="s">
        <v>1028</v>
      </c>
      <c r="B7" t="s">
        <v>1030</v>
      </c>
      <c r="E7" s="3" t="s">
        <v>1028</v>
      </c>
      <c r="F7" t="s">
        <v>1030</v>
      </c>
    </row>
    <row r="8" spans="1:9" x14ac:dyDescent="0.3">
      <c r="A8" s="4" t="s">
        <v>20</v>
      </c>
      <c r="B8">
        <v>31</v>
      </c>
      <c r="E8" s="4" t="s">
        <v>25</v>
      </c>
      <c r="F8">
        <v>32</v>
      </c>
      <c r="H8" t="s">
        <v>1035</v>
      </c>
      <c r="I8" t="s">
        <v>1041</v>
      </c>
    </row>
    <row r="9" spans="1:9" x14ac:dyDescent="0.3">
      <c r="A9" s="4" t="s">
        <v>29</v>
      </c>
      <c r="B9">
        <v>33</v>
      </c>
      <c r="E9" s="4" t="s">
        <v>31</v>
      </c>
      <c r="F9">
        <v>30</v>
      </c>
      <c r="H9">
        <v>1000</v>
      </c>
      <c r="I9">
        <v>164</v>
      </c>
    </row>
    <row r="10" spans="1:9" x14ac:dyDescent="0.3">
      <c r="A10" s="4" t="s">
        <v>23</v>
      </c>
      <c r="B10">
        <v>33</v>
      </c>
      <c r="E10" s="4" t="s">
        <v>18</v>
      </c>
      <c r="F10">
        <v>29</v>
      </c>
    </row>
    <row r="11" spans="1:9" x14ac:dyDescent="0.3">
      <c r="A11" s="4" t="s">
        <v>15</v>
      </c>
      <c r="B11">
        <v>33</v>
      </c>
      <c r="E11" s="4" t="s">
        <v>21</v>
      </c>
      <c r="F11">
        <v>42</v>
      </c>
    </row>
    <row r="12" spans="1:9" x14ac:dyDescent="0.3">
      <c r="A12" s="4" t="s">
        <v>10</v>
      </c>
      <c r="B12">
        <v>34</v>
      </c>
      <c r="E12" s="4" t="s">
        <v>13</v>
      </c>
      <c r="F12">
        <v>31</v>
      </c>
    </row>
    <row r="13" spans="1:9" x14ac:dyDescent="0.3">
      <c r="A13" s="4" t="s">
        <v>1029</v>
      </c>
      <c r="B13">
        <v>164</v>
      </c>
      <c r="E13" s="4" t="s">
        <v>1029</v>
      </c>
      <c r="F13">
        <v>164</v>
      </c>
    </row>
    <row r="15" spans="1:9" x14ac:dyDescent="0.3">
      <c r="A15" s="3" t="s">
        <v>1028</v>
      </c>
      <c r="B15" t="s">
        <v>1030</v>
      </c>
      <c r="E15" s="3" t="s">
        <v>1028</v>
      </c>
      <c r="F15" t="s">
        <v>1030</v>
      </c>
    </row>
    <row r="16" spans="1:9" x14ac:dyDescent="0.3">
      <c r="A16" s="4" t="s">
        <v>1036</v>
      </c>
      <c r="B16">
        <v>122</v>
      </c>
      <c r="E16" s="4" t="s">
        <v>20</v>
      </c>
      <c r="F16">
        <v>31</v>
      </c>
    </row>
    <row r="17" spans="1:7" x14ac:dyDescent="0.3">
      <c r="A17" s="4" t="s">
        <v>1037</v>
      </c>
      <c r="B17">
        <v>42</v>
      </c>
      <c r="E17" s="4" t="s">
        <v>29</v>
      </c>
      <c r="F17">
        <v>33</v>
      </c>
    </row>
    <row r="18" spans="1:7" x14ac:dyDescent="0.3">
      <c r="A18" s="4" t="s">
        <v>1029</v>
      </c>
      <c r="B18">
        <v>164</v>
      </c>
      <c r="E18" s="4" t="s">
        <v>23</v>
      </c>
      <c r="F18">
        <v>33</v>
      </c>
    </row>
    <row r="19" spans="1:7" x14ac:dyDescent="0.3">
      <c r="E19" s="4" t="s">
        <v>15</v>
      </c>
      <c r="F19">
        <v>33</v>
      </c>
    </row>
    <row r="20" spans="1:7" x14ac:dyDescent="0.3">
      <c r="A20" s="3" t="s">
        <v>1035</v>
      </c>
      <c r="B20" s="3" t="s">
        <v>1039</v>
      </c>
      <c r="E20" s="4" t="s">
        <v>10</v>
      </c>
      <c r="F20">
        <v>34</v>
      </c>
    </row>
    <row r="21" spans="1:7" x14ac:dyDescent="0.3">
      <c r="A21" s="3" t="s">
        <v>1038</v>
      </c>
      <c r="B21">
        <v>0</v>
      </c>
      <c r="C21">
        <v>1</v>
      </c>
      <c r="D21" t="s">
        <v>1029</v>
      </c>
      <c r="E21" s="4" t="s">
        <v>1029</v>
      </c>
      <c r="F21">
        <v>164</v>
      </c>
    </row>
    <row r="22" spans="1:7" x14ac:dyDescent="0.3">
      <c r="A22" s="4" t="s">
        <v>16</v>
      </c>
      <c r="B22">
        <v>308</v>
      </c>
      <c r="D22">
        <v>308</v>
      </c>
    </row>
    <row r="23" spans="1:7" x14ac:dyDescent="0.3">
      <c r="A23" s="4" t="s">
        <v>11</v>
      </c>
      <c r="B23">
        <v>178</v>
      </c>
      <c r="C23">
        <v>164</v>
      </c>
      <c r="D23">
        <v>342</v>
      </c>
    </row>
    <row r="24" spans="1:7" x14ac:dyDescent="0.3">
      <c r="A24" s="4" t="s">
        <v>24</v>
      </c>
      <c r="B24">
        <v>350</v>
      </c>
      <c r="D24">
        <v>350</v>
      </c>
    </row>
    <row r="25" spans="1:7" x14ac:dyDescent="0.3">
      <c r="A25" s="4" t="s">
        <v>1029</v>
      </c>
      <c r="B25">
        <v>836</v>
      </c>
      <c r="C25">
        <v>164</v>
      </c>
      <c r="D25">
        <v>1000</v>
      </c>
      <c r="E25" s="3" t="s">
        <v>1028</v>
      </c>
      <c r="F25" t="s">
        <v>1035</v>
      </c>
      <c r="G25" t="s">
        <v>1030</v>
      </c>
    </row>
    <row r="26" spans="1:7" x14ac:dyDescent="0.3">
      <c r="E26" s="4" t="s">
        <v>1036</v>
      </c>
      <c r="F26">
        <v>744</v>
      </c>
      <c r="G26">
        <v>122</v>
      </c>
    </row>
    <row r="27" spans="1:7" x14ac:dyDescent="0.3">
      <c r="A27" s="3" t="s">
        <v>1028</v>
      </c>
      <c r="B27" t="s">
        <v>1030</v>
      </c>
      <c r="E27" s="4" t="s">
        <v>1037</v>
      </c>
      <c r="F27">
        <v>256</v>
      </c>
      <c r="G27">
        <v>42</v>
      </c>
    </row>
    <row r="28" spans="1:7" x14ac:dyDescent="0.3">
      <c r="A28" s="4">
        <v>10003</v>
      </c>
      <c r="B28">
        <v>5</v>
      </c>
      <c r="E28" s="4" t="s">
        <v>1029</v>
      </c>
      <c r="F28">
        <v>1000</v>
      </c>
      <c r="G28">
        <v>164</v>
      </c>
    </row>
    <row r="29" spans="1:7" x14ac:dyDescent="0.3">
      <c r="A29" s="4">
        <v>10005</v>
      </c>
      <c r="B29">
        <v>5</v>
      </c>
    </row>
    <row r="30" spans="1:7" x14ac:dyDescent="0.3">
      <c r="A30" s="4">
        <v>10061</v>
      </c>
      <c r="B30">
        <v>5</v>
      </c>
    </row>
    <row r="31" spans="1:7" x14ac:dyDescent="0.3">
      <c r="A31" s="4">
        <v>10085</v>
      </c>
      <c r="B31">
        <v>5</v>
      </c>
    </row>
    <row r="32" spans="1:7" x14ac:dyDescent="0.3">
      <c r="A32" s="4">
        <v>10095</v>
      </c>
      <c r="B32">
        <v>4</v>
      </c>
    </row>
    <row r="33" spans="1:2" x14ac:dyDescent="0.3">
      <c r="A33" s="4" t="s">
        <v>1029</v>
      </c>
      <c r="B33">
        <v>24</v>
      </c>
    </row>
  </sheetData>
  <conditionalFormatting sqref="E16">
    <cfRule type="colorScale" priority="2">
      <colorScale>
        <cfvo type="min"/>
        <cfvo type="percentile" val="50"/>
        <cfvo type="max"/>
        <color rgb="FFF8696B"/>
        <color rgb="FFFFEB84"/>
        <color rgb="FF63BE7B"/>
      </colorScale>
    </cfRule>
  </conditionalFormatting>
  <conditionalFormatting sqref="E15:F15 E16:E2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10740-94D8-4895-B98B-FFA16FB64858}">
  <dimension ref="R5"/>
  <sheetViews>
    <sheetView showGridLines="0" tabSelected="1" zoomScale="90" workbookViewId="0">
      <selection activeCell="T41" sqref="T41"/>
    </sheetView>
  </sheetViews>
  <sheetFormatPr defaultRowHeight="14.4" x14ac:dyDescent="0.3"/>
  <cols>
    <col min="5" max="5" width="10.77734375" customWidth="1"/>
  </cols>
  <sheetData>
    <row r="5" spans="18:18" x14ac:dyDescent="0.3">
      <c r="R5" t="s">
        <v>1040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Sheet5</vt:lpstr>
      <vt:lpstr>Sheet6</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Alekhya Komara</cp:lastModifiedBy>
  <dcterms:created xsi:type="dcterms:W3CDTF">2026-02-27T14:01:02Z</dcterms:created>
  <dcterms:modified xsi:type="dcterms:W3CDTF">2026-03-21T08:21:00Z</dcterms:modified>
</cp:coreProperties>
</file>